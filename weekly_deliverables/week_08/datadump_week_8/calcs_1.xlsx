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'Лист1'!$A$1:$M$25</definedName>
  </definedNames>
  <calcPr/>
</workbook>
</file>

<file path=xl/sharedStrings.xml><?xml version="1.0" encoding="utf-8"?>
<sst xmlns="http://schemas.openxmlformats.org/spreadsheetml/2006/main" count="47" uniqueCount="42">
  <si>
    <t>Компания партнёр</t>
  </si>
  <si>
    <t>Совместимость брендов</t>
  </si>
  <si>
    <t>Целевая аудитория</t>
  </si>
  <si>
    <t>Стратегическая выгода</t>
  </si>
  <si>
    <t>Рейтинг и популярность</t>
  </si>
  <si>
    <t>C(frac)</t>
  </si>
  <si>
    <t>R</t>
  </si>
  <si>
    <t>I</t>
  </si>
  <si>
    <t>C</t>
  </si>
  <si>
    <t>E</t>
  </si>
  <si>
    <t>RICE</t>
  </si>
  <si>
    <t>Расчёты топ-3</t>
  </si>
  <si>
    <t>VK</t>
  </si>
  <si>
    <t>Выручка додо за сентябрь 2024</t>
  </si>
  <si>
    <t>Rostics</t>
  </si>
  <si>
    <t>Средний чек</t>
  </si>
  <si>
    <t>Colizeum</t>
  </si>
  <si>
    <t>Количество заказов</t>
  </si>
  <si>
    <t>Yandex.Music</t>
  </si>
  <si>
    <t>Twich</t>
  </si>
  <si>
    <t>Поставка на фест</t>
  </si>
  <si>
    <t>Kinopoisk</t>
  </si>
  <si>
    <t>Количество посетителей ВК феста 2024</t>
  </si>
  <si>
    <t>Litres</t>
  </si>
  <si>
    <t>Скидка для оптового заказа ВК</t>
  </si>
  <si>
    <t>Ozon</t>
  </si>
  <si>
    <t>Выручка с оптового зказа от ВК</t>
  </si>
  <si>
    <t>%</t>
  </si>
  <si>
    <t>M.Video</t>
  </si>
  <si>
    <t>Lamoda</t>
  </si>
  <si>
    <t>Введение нового товара</t>
  </si>
  <si>
    <t>Средний чек от новых товаров</t>
  </si>
  <si>
    <t>Вероятность того что покупатель закажет новый товар</t>
  </si>
  <si>
    <t>Увеличение выручки</t>
  </si>
  <si>
    <t>Доставка</t>
  </si>
  <si>
    <t>Количество точек, для которых возможна доставка</t>
  </si>
  <si>
    <t>Доставок на комп в день</t>
  </si>
  <si>
    <t>(возьмём среднее количество приёмов пищи человека)</t>
  </si>
  <si>
    <t>Компов на точке</t>
  </si>
  <si>
    <t>Вероятность заказа</t>
  </si>
  <si>
    <t>Дней в месяце</t>
  </si>
  <si>
    <t>Выручка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</si>
</sst>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Alignment="1" applyFill="1" applyFont="1">
      <alignment readingOrder="0"/>
    </xf>
    <xf borderId="0" fillId="7" fontId="1" numFmtId="0" xfId="0" applyFont="1"/>
    <xf borderId="0" fillId="8" fontId="1" numFmtId="0" xfId="0" applyAlignment="1" applyFill="1" applyFont="1">
      <alignment readingOrder="0"/>
    </xf>
    <xf borderId="0" fillId="9" fontId="1" numFmtId="0" xfId="0" applyFill="1" applyFont="1"/>
    <xf borderId="0" fillId="10" fontId="1" numFmtId="0" xfId="0" applyAlignment="1" applyFill="1" applyFont="1">
      <alignment readingOrder="0"/>
    </xf>
    <xf borderId="0" fillId="10" fontId="1" numFmtId="0" xfId="0" applyFont="1"/>
    <xf borderId="0" fillId="11" fontId="1" numFmtId="0" xfId="0" applyFill="1" applyFont="1"/>
    <xf borderId="0" fillId="0" fontId="1" numFmtId="0" xfId="0" applyFont="1"/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0" fontId="1" numFmtId="9" xfId="0" applyAlignment="1" applyFont="1" applyNumberFormat="1">
      <alignment readingOrder="0"/>
    </xf>
    <xf borderId="0" fillId="14" fontId="1" numFmtId="0" xfId="0" applyAlignment="1" applyFill="1" applyFont="1">
      <alignment readingOrder="0"/>
    </xf>
    <xf borderId="0" fillId="14" fontId="1" numFmtId="0" xfId="0" applyFont="1"/>
    <xf borderId="0" fillId="1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3.0"/>
    <col customWidth="1" min="14" max="14" width="11.75"/>
    <col customWidth="1" min="15" max="15" width="3.38"/>
    <col customWidth="1" min="16" max="16" width="44.13"/>
    <col customWidth="1" min="17" max="17" width="2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tr">
        <f t="shared" ref="M1:M11" si="1">A1</f>
        <v>Компания партнёр</v>
      </c>
      <c r="O1" s="7" t="s">
        <v>11</v>
      </c>
      <c r="P1" s="8"/>
      <c r="Q1" s="8"/>
      <c r="R1" s="8"/>
      <c r="S1" s="8"/>
      <c r="T1" s="8"/>
      <c r="U1" s="8"/>
    </row>
    <row r="2">
      <c r="A2" s="3" t="s">
        <v>12</v>
      </c>
      <c r="B2" s="9">
        <v>3.0</v>
      </c>
      <c r="C2" s="9">
        <v>3.0</v>
      </c>
      <c r="D2" s="9">
        <v>2.0</v>
      </c>
      <c r="E2" s="9">
        <v>3.0</v>
      </c>
      <c r="F2" s="10">
        <f t="shared" ref="F2:F11" si="2">AVERAGE(B2:E2)</f>
        <v>2.75</v>
      </c>
      <c r="G2" s="4"/>
      <c r="H2" s="11">
        <v>4.0</v>
      </c>
      <c r="I2" s="11">
        <v>4.0</v>
      </c>
      <c r="J2" s="12">
        <f t="shared" ref="J2:J11" si="3">ROUND(F2,0)</f>
        <v>3</v>
      </c>
      <c r="K2" s="11">
        <v>2.0</v>
      </c>
      <c r="L2" s="12">
        <f t="shared" ref="L2:L11" si="4">H2*I2*J2/K2</f>
        <v>24</v>
      </c>
      <c r="M2" s="13" t="str">
        <f t="shared" si="1"/>
        <v>VK</v>
      </c>
      <c r="O2" s="8"/>
      <c r="P2" s="4" t="s">
        <v>13</v>
      </c>
      <c r="Q2" s="4">
        <v>1.0353E10</v>
      </c>
    </row>
    <row r="3">
      <c r="A3" s="3" t="s">
        <v>14</v>
      </c>
      <c r="B3" s="9">
        <v>3.0</v>
      </c>
      <c r="C3" s="9">
        <v>3.0</v>
      </c>
      <c r="D3" s="9">
        <v>3.0</v>
      </c>
      <c r="E3" s="9">
        <v>3.0</v>
      </c>
      <c r="F3" s="10">
        <f t="shared" si="2"/>
        <v>3</v>
      </c>
      <c r="G3" s="4"/>
      <c r="H3" s="11">
        <v>4.0</v>
      </c>
      <c r="I3" s="11">
        <v>4.0</v>
      </c>
      <c r="J3" s="12">
        <f t="shared" si="3"/>
        <v>3</v>
      </c>
      <c r="K3" s="11">
        <v>2.0</v>
      </c>
      <c r="L3" s="12">
        <f t="shared" si="4"/>
        <v>24</v>
      </c>
      <c r="M3" s="13" t="str">
        <f t="shared" si="1"/>
        <v>Rostics</v>
      </c>
      <c r="O3" s="8"/>
      <c r="P3" s="4" t="s">
        <v>15</v>
      </c>
      <c r="Q3" s="4">
        <v>500.0</v>
      </c>
    </row>
    <row r="4">
      <c r="A4" s="3" t="s">
        <v>16</v>
      </c>
      <c r="B4" s="9">
        <v>3.0</v>
      </c>
      <c r="C4" s="9">
        <v>3.0</v>
      </c>
      <c r="D4" s="9">
        <v>3.0</v>
      </c>
      <c r="E4" s="9">
        <v>2.0</v>
      </c>
      <c r="F4" s="10">
        <f t="shared" si="2"/>
        <v>2.75</v>
      </c>
      <c r="H4" s="11">
        <v>4.0</v>
      </c>
      <c r="I4" s="11">
        <v>4.0</v>
      </c>
      <c r="J4" s="12">
        <f t="shared" si="3"/>
        <v>3</v>
      </c>
      <c r="K4" s="11">
        <v>2.0</v>
      </c>
      <c r="L4" s="12">
        <f t="shared" si="4"/>
        <v>24</v>
      </c>
      <c r="M4" s="13" t="str">
        <f t="shared" si="1"/>
        <v>Colizeum</v>
      </c>
      <c r="O4" s="8"/>
      <c r="P4" s="4" t="s">
        <v>17</v>
      </c>
      <c r="Q4" s="14">
        <f>Q2/Q3</f>
        <v>20706000</v>
      </c>
    </row>
    <row r="5">
      <c r="A5" s="3" t="s">
        <v>18</v>
      </c>
      <c r="B5" s="9">
        <v>3.0</v>
      </c>
      <c r="C5" s="9">
        <v>2.0</v>
      </c>
      <c r="D5" s="9">
        <v>2.0</v>
      </c>
      <c r="E5" s="9">
        <v>3.0</v>
      </c>
      <c r="F5" s="10">
        <f t="shared" si="2"/>
        <v>2.5</v>
      </c>
      <c r="G5" s="4"/>
      <c r="H5" s="11">
        <v>3.0</v>
      </c>
      <c r="I5" s="11">
        <v>4.0</v>
      </c>
      <c r="J5" s="12">
        <f t="shared" si="3"/>
        <v>3</v>
      </c>
      <c r="K5" s="11">
        <v>2.0</v>
      </c>
      <c r="L5" s="12">
        <f t="shared" si="4"/>
        <v>18</v>
      </c>
      <c r="M5" s="13" t="str">
        <f t="shared" si="1"/>
        <v>Yandex.Music</v>
      </c>
      <c r="O5" s="8"/>
    </row>
    <row r="6">
      <c r="A6" s="3" t="s">
        <v>19</v>
      </c>
      <c r="B6" s="9">
        <v>3.0</v>
      </c>
      <c r="C6" s="9">
        <v>3.0</v>
      </c>
      <c r="D6" s="9">
        <v>3.0</v>
      </c>
      <c r="E6" s="9">
        <v>3.0</v>
      </c>
      <c r="F6" s="10">
        <f t="shared" si="2"/>
        <v>3</v>
      </c>
      <c r="G6" s="4"/>
      <c r="H6" s="11">
        <v>3.0</v>
      </c>
      <c r="I6" s="11">
        <v>3.0</v>
      </c>
      <c r="J6" s="12">
        <f t="shared" si="3"/>
        <v>3</v>
      </c>
      <c r="K6" s="11">
        <v>2.0</v>
      </c>
      <c r="L6" s="12">
        <f t="shared" si="4"/>
        <v>13.5</v>
      </c>
      <c r="M6" s="13" t="str">
        <f t="shared" si="1"/>
        <v>Twich</v>
      </c>
      <c r="O6" s="8"/>
      <c r="P6" s="15" t="s">
        <v>12</v>
      </c>
      <c r="Q6" s="16" t="s">
        <v>20</v>
      </c>
    </row>
    <row r="7">
      <c r="A7" s="3" t="s">
        <v>21</v>
      </c>
      <c r="B7" s="9">
        <v>3.0</v>
      </c>
      <c r="C7" s="9">
        <v>2.0</v>
      </c>
      <c r="D7" s="9">
        <v>3.0</v>
      </c>
      <c r="E7" s="9">
        <v>3.0</v>
      </c>
      <c r="F7" s="10">
        <f t="shared" si="2"/>
        <v>2.75</v>
      </c>
      <c r="G7" s="4"/>
      <c r="H7" s="11">
        <v>3.0</v>
      </c>
      <c r="I7" s="11">
        <v>3.0</v>
      </c>
      <c r="J7" s="12">
        <f t="shared" si="3"/>
        <v>3</v>
      </c>
      <c r="K7" s="11">
        <v>2.0</v>
      </c>
      <c r="L7" s="12">
        <f t="shared" si="4"/>
        <v>13.5</v>
      </c>
      <c r="M7" s="13" t="str">
        <f t="shared" si="1"/>
        <v>Kinopoisk</v>
      </c>
      <c r="O7" s="8"/>
      <c r="P7" s="4" t="s">
        <v>22</v>
      </c>
      <c r="Q7" s="4">
        <v>205000.0</v>
      </c>
    </row>
    <row r="8">
      <c r="A8" s="3" t="s">
        <v>23</v>
      </c>
      <c r="B8" s="9">
        <v>3.0</v>
      </c>
      <c r="C8" s="9">
        <v>2.0</v>
      </c>
      <c r="D8" s="9">
        <v>2.0</v>
      </c>
      <c r="E8" s="9">
        <v>3.0</v>
      </c>
      <c r="F8" s="10">
        <f t="shared" si="2"/>
        <v>2.5</v>
      </c>
      <c r="H8" s="11">
        <v>3.0</v>
      </c>
      <c r="I8" s="11">
        <v>3.0</v>
      </c>
      <c r="J8" s="12">
        <f t="shared" si="3"/>
        <v>3</v>
      </c>
      <c r="K8" s="11">
        <v>2.0</v>
      </c>
      <c r="L8" s="12">
        <f t="shared" si="4"/>
        <v>13.5</v>
      </c>
      <c r="M8" s="13" t="str">
        <f t="shared" si="1"/>
        <v>Litres</v>
      </c>
      <c r="O8" s="8"/>
      <c r="P8" s="4" t="s">
        <v>24</v>
      </c>
      <c r="Q8" s="17">
        <v>0.15</v>
      </c>
    </row>
    <row r="9">
      <c r="A9" s="3" t="s">
        <v>25</v>
      </c>
      <c r="B9" s="9">
        <v>2.0</v>
      </c>
      <c r="C9" s="9">
        <v>2.0</v>
      </c>
      <c r="D9" s="9">
        <v>1.0</v>
      </c>
      <c r="E9" s="9">
        <v>3.0</v>
      </c>
      <c r="F9" s="10">
        <f t="shared" si="2"/>
        <v>2</v>
      </c>
      <c r="G9" s="4"/>
      <c r="H9" s="11">
        <v>3.0</v>
      </c>
      <c r="I9" s="11">
        <v>3.0</v>
      </c>
      <c r="J9" s="12">
        <f t="shared" si="3"/>
        <v>2</v>
      </c>
      <c r="K9" s="11">
        <v>2.0</v>
      </c>
      <c r="L9" s="12">
        <f t="shared" si="4"/>
        <v>9</v>
      </c>
      <c r="M9" s="13" t="str">
        <f t="shared" si="1"/>
        <v>Ozon</v>
      </c>
      <c r="O9" s="8"/>
      <c r="P9" s="18" t="s">
        <v>26</v>
      </c>
      <c r="Q9" s="19">
        <f>Q7*Q3*(100%-Q8)</f>
        <v>87125000</v>
      </c>
      <c r="R9" s="14">
        <f>Q9/Q2%</f>
        <v>0.841543514</v>
      </c>
      <c r="S9" s="4" t="s">
        <v>27</v>
      </c>
    </row>
    <row r="10">
      <c r="A10" s="3" t="s">
        <v>28</v>
      </c>
      <c r="B10" s="9">
        <v>2.0</v>
      </c>
      <c r="C10" s="9">
        <v>2.0</v>
      </c>
      <c r="D10" s="9">
        <v>2.0</v>
      </c>
      <c r="E10" s="9">
        <v>3.0</v>
      </c>
      <c r="F10" s="10">
        <f t="shared" si="2"/>
        <v>2.25</v>
      </c>
      <c r="H10" s="11">
        <v>2.0</v>
      </c>
      <c r="I10" s="11">
        <v>3.0</v>
      </c>
      <c r="J10" s="12">
        <f t="shared" si="3"/>
        <v>2</v>
      </c>
      <c r="K10" s="11">
        <v>2.0</v>
      </c>
      <c r="L10" s="12">
        <f t="shared" si="4"/>
        <v>6</v>
      </c>
      <c r="M10" s="13" t="str">
        <f t="shared" si="1"/>
        <v>M.Video</v>
      </c>
      <c r="O10" s="8"/>
    </row>
    <row r="11">
      <c r="A11" s="3" t="s">
        <v>29</v>
      </c>
      <c r="B11" s="9">
        <v>2.0</v>
      </c>
      <c r="C11" s="9">
        <v>2.0</v>
      </c>
      <c r="D11" s="9">
        <v>2.0</v>
      </c>
      <c r="E11" s="9">
        <v>2.0</v>
      </c>
      <c r="F11" s="10">
        <f t="shared" si="2"/>
        <v>2</v>
      </c>
      <c r="H11" s="11">
        <v>2.0</v>
      </c>
      <c r="I11" s="11">
        <v>3.0</v>
      </c>
      <c r="J11" s="12">
        <f t="shared" si="3"/>
        <v>2</v>
      </c>
      <c r="K11" s="11">
        <v>2.0</v>
      </c>
      <c r="L11" s="12">
        <f t="shared" si="4"/>
        <v>6</v>
      </c>
      <c r="M11" s="13" t="str">
        <f t="shared" si="1"/>
        <v>Lamoda</v>
      </c>
      <c r="O11" s="8"/>
      <c r="P11" s="20" t="s">
        <v>14</v>
      </c>
      <c r="Q11" s="16" t="s">
        <v>30</v>
      </c>
    </row>
    <row r="12">
      <c r="O12" s="8"/>
      <c r="P12" s="4" t="s">
        <v>31</v>
      </c>
      <c r="Q12" s="4">
        <v>600.0</v>
      </c>
    </row>
    <row r="13">
      <c r="O13" s="8"/>
      <c r="P13" s="4" t="s">
        <v>32</v>
      </c>
      <c r="Q13" s="17">
        <v>0.5</v>
      </c>
    </row>
    <row r="14">
      <c r="O14" s="8"/>
      <c r="P14" s="18" t="s">
        <v>33</v>
      </c>
      <c r="Q14" s="19">
        <f>(Q3*Q4*(100%-Q13)+Q4*Q12*Q13)-Q2</f>
        <v>1035300000</v>
      </c>
      <c r="R14" s="14">
        <f>Q14/Q2%</f>
        <v>10</v>
      </c>
      <c r="S14" s="4" t="s">
        <v>27</v>
      </c>
    </row>
    <row r="15">
      <c r="O15" s="8"/>
    </row>
    <row r="16">
      <c r="O16" s="8"/>
      <c r="P16" s="20" t="s">
        <v>16</v>
      </c>
      <c r="Q16" s="16" t="s">
        <v>34</v>
      </c>
    </row>
    <row r="17">
      <c r="O17" s="8"/>
      <c r="P17" s="4" t="s">
        <v>35</v>
      </c>
      <c r="Q17" s="4">
        <v>350.0</v>
      </c>
    </row>
    <row r="18">
      <c r="O18" s="8"/>
      <c r="P18" s="4" t="s">
        <v>36</v>
      </c>
      <c r="Q18" s="4">
        <v>3.0</v>
      </c>
      <c r="R18" s="4" t="s">
        <v>37</v>
      </c>
    </row>
    <row r="19">
      <c r="O19" s="8"/>
      <c r="P19" s="4" t="s">
        <v>38</v>
      </c>
      <c r="Q19" s="4">
        <v>30.0</v>
      </c>
    </row>
    <row r="20">
      <c r="O20" s="8"/>
      <c r="P20" s="4" t="s">
        <v>39</v>
      </c>
      <c r="Q20" s="17">
        <v>0.3</v>
      </c>
    </row>
    <row r="21">
      <c r="O21" s="8"/>
      <c r="P21" s="4" t="s">
        <v>40</v>
      </c>
      <c r="Q21" s="4">
        <v>30.0</v>
      </c>
    </row>
    <row r="22">
      <c r="O22" s="8"/>
      <c r="P22" s="18" t="s">
        <v>41</v>
      </c>
      <c r="Q22" s="19">
        <f>Q21*Q20*Q19*Q18*Q17*Q3</f>
        <v>141750000</v>
      </c>
      <c r="R22" s="14">
        <f>Q22/Q2%</f>
        <v>1.369168357</v>
      </c>
      <c r="S22" s="4" t="s">
        <v>27</v>
      </c>
    </row>
    <row r="23">
      <c r="O23" s="8"/>
    </row>
    <row r="24">
      <c r="O24" s="8"/>
    </row>
    <row r="25">
      <c r="O25" s="8"/>
    </row>
  </sheetData>
  <autoFilter ref="$A$1:$M$25">
    <sortState ref="A1:M25">
      <sortCondition descending="1" ref="L1:L25"/>
    </sortState>
  </autoFilter>
  <drawing r:id="rId1"/>
</worksheet>
</file>