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<sst xmlns="http://schemas.openxmlformats.org/spreadsheetml/2006/main" count="60" uniqueCount="59">
  <si>
    <t>Расчеты</t>
  </si>
  <si>
    <t>Количество заказов(среднее)</t>
  </si>
  <si>
    <t>Средний чек (доставка)</t>
  </si>
  <si>
    <t>Средний чек (ресторан)</t>
  </si>
  <si>
    <t>Приток клиентов</t>
  </si>
  <si>
    <t>Количество заказов(доставка)</t>
  </si>
  <si>
    <t>Количество заказов(ресторан)</t>
  </si>
  <si>
    <t>В ресторане</t>
  </si>
  <si>
    <t>Важна скорость</t>
  </si>
  <si>
    <t>Закажут новые позиции</t>
  </si>
  <si>
    <t>Закажут старые</t>
  </si>
  <si>
    <t>Прибыль за новые позиции</t>
  </si>
  <si>
    <t>Прибыль за старые позиции</t>
  </si>
  <si>
    <t>НЕ важна скорость</t>
  </si>
  <si>
    <t>Прибыль (нев ск)</t>
  </si>
  <si>
    <t>Доставка</t>
  </si>
  <si>
    <t>Прибыль с доставки</t>
  </si>
  <si>
    <t xml:space="preserve">Прибыль всего после </t>
  </si>
  <si>
    <t>Прибыль всего до</t>
  </si>
  <si>
    <t>Разница</t>
  </si>
  <si>
    <t>В день</t>
  </si>
  <si>
    <t>Процент увеличения выручки</t>
  </si>
  <si>
    <t>около 16 % увеличения прибыли</t>
  </si>
  <si>
    <t>Затраты</t>
  </si>
  <si>
    <t>разовые</t>
  </si>
  <si>
    <t>Температурные шкафы</t>
  </si>
  <si>
    <t>500000руб</t>
  </si>
  <si>
    <t>2-3 штуки</t>
  </si>
  <si>
    <t>1000000 - 1500000 руб</t>
  </si>
  <si>
    <t xml:space="preserve">Окупаемость </t>
  </si>
  <si>
    <t>минимально</t>
  </si>
  <si>
    <t>максимально</t>
  </si>
  <si>
    <t>ежемесячные</t>
  </si>
  <si>
    <t>обслуживание</t>
  </si>
  <si>
    <t>в день</t>
  </si>
  <si>
    <t>в днях</t>
  </si>
  <si>
    <t>персонал(опционально)</t>
  </si>
  <si>
    <t>90000 руб</t>
  </si>
  <si>
    <t>План</t>
  </si>
  <si>
    <t>1. Закупка и установка темп шкафов</t>
  </si>
  <si>
    <t>2. Доработка приложения и меню</t>
  </si>
  <si>
    <t>3. Реклама</t>
  </si>
  <si>
    <t>Опционально</t>
  </si>
  <si>
    <t>4. Наем персонала(по необходимости)</t>
  </si>
  <si>
    <t>Если предложение пользуется спросом и персонал не успевает заготавливать пиццу</t>
  </si>
  <si>
    <t>RICE</t>
  </si>
  <si>
    <t>Reach</t>
  </si>
  <si>
    <t>Новая позиция, готовая к выдаче практически сразу после заказа будет интересна всем гостям додо</t>
  </si>
  <si>
    <t>Impact</t>
  </si>
  <si>
    <t>Нововведение поможет привлечь новых клиентов и повысить цену на новые позиции</t>
  </si>
  <si>
    <t>Confident</t>
  </si>
  <si>
    <t>Это гарантирует приток клиентов, но возможно популярность нового продукта превысит ожидания и каннабализация превысит ожидаемую</t>
  </si>
  <si>
    <t>Effect</t>
  </si>
  <si>
    <t>Затраты на оборудование небольшие, также изменения в приложении минимальны</t>
  </si>
  <si>
    <t>Итого</t>
  </si>
  <si>
    <t>Ссылки на источники</t>
  </si>
  <si>
    <t>https://www.forbes.com/sites/shephyken/2023/01/08/todays-customer-has-a-need-for-speed/</t>
  </si>
  <si>
    <t>https://get.tattleapp.com/uncategorized/why-restaurants-are-measuring-speed-of-service-differently-in-2023/</t>
  </si>
  <si>
    <t>https://www.qlever.ru/press/top25-kpi-dlya-restorana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</si>
</sst>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1" numFmtId="0" xfId="0" applyFont="1"/>
    <xf borderId="1" fillId="0" fontId="1" numFmtId="0" xfId="0" applyAlignment="1" applyBorder="1" applyFont="1">
      <alignment readingOrder="0"/>
    </xf>
    <xf borderId="2" fillId="0" fontId="1" numFmtId="0" xfId="0" applyBorder="1" applyFont="1"/>
    <xf borderId="3" fillId="0" fontId="1" numFmtId="9" xfId="0" applyAlignment="1" applyBorder="1" applyFont="1" applyNumberFormat="1">
      <alignment readingOrder="0"/>
    </xf>
    <xf borderId="4" fillId="0" fontId="1" numFmtId="0" xfId="0" applyAlignment="1" applyBorder="1" applyFont="1">
      <alignment readingOrder="0"/>
    </xf>
    <xf borderId="5" fillId="0" fontId="1" numFmtId="9" xfId="0" applyAlignment="1" applyBorder="1" applyFont="1" applyNumberFormat="1">
      <alignment readingOrder="0"/>
    </xf>
    <xf borderId="0" fillId="3" fontId="1" numFmtId="0" xfId="0" applyFill="1" applyFont="1"/>
    <xf borderId="5" fillId="0" fontId="1" numFmtId="10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borderId="2" fillId="4" fontId="1" numFmtId="0" xfId="0" applyBorder="1" applyFill="1" applyFont="1"/>
    <xf borderId="3" fillId="0" fontId="1" numFmtId="9" xfId="0" applyAlignment="1" applyBorder="1" applyFont="1" applyNumberFormat="1">
      <alignment readingOrder="0"/>
    </xf>
    <xf borderId="6" fillId="0" fontId="1" numFmtId="0" xfId="0" applyAlignment="1" applyBorder="1" applyFont="1">
      <alignment readingOrder="0"/>
    </xf>
    <xf borderId="7" fillId="3" fontId="1" numFmtId="0" xfId="0" applyBorder="1" applyFont="1"/>
    <xf borderId="8" fillId="0" fontId="1" numFmtId="0" xfId="0" applyBorder="1" applyFont="1"/>
    <xf borderId="3" fillId="0" fontId="1" numFmtId="0" xfId="0" applyBorder="1" applyFont="1"/>
    <xf borderId="8" fillId="3" fontId="1" numFmtId="0" xfId="0" applyBorder="1" applyFont="1"/>
    <xf borderId="0" fillId="0" fontId="2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5" fontId="1" numFmtId="0" xfId="0" applyFont="1"/>
    <xf borderId="0" fillId="6" fontId="2" numFmtId="0" xfId="0" applyAlignment="1" applyFill="1" applyFont="1">
      <alignment readingOrder="0"/>
    </xf>
    <xf borderId="0" fillId="6" fontId="2" numFmtId="0" xfId="0" applyAlignment="1" applyFont="1">
      <alignment horizontal="center"/>
    </xf>
    <xf borderId="0" fillId="6" fontId="1" numFmtId="0" xfId="0" applyFont="1"/>
    <xf borderId="0" fillId="0" fontId="1" numFmtId="0" xfId="0" applyAlignment="1" applyFont="1">
      <alignment horizontal="right" readingOrder="0"/>
    </xf>
    <xf borderId="9" fillId="0" fontId="1" numFmtId="0" xfId="0" applyAlignment="1" applyBorder="1" applyFont="1">
      <alignment readingOrder="0"/>
    </xf>
    <xf borderId="9" fillId="0" fontId="1" numFmtId="0" xfId="0" applyBorder="1" applyFont="1"/>
    <xf borderId="9" fillId="7" fontId="1" numFmtId="0" xfId="0" applyAlignment="1" applyBorder="1" applyFill="1" applyFont="1">
      <alignment readingOrder="0"/>
    </xf>
    <xf borderId="9" fillId="7" fontId="1" numFmtId="0" xfId="0" applyBorder="1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orbes.com/sites/shephyken/2023/01/08/todays-customer-has-a-need-for-speed/" TargetMode="External"/><Relationship Id="rId2" Type="http://schemas.openxmlformats.org/officeDocument/2006/relationships/hyperlink" Target="https://get.tattleapp.com/uncategorized/why-restaurants-are-measuring-speed-of-service-differently-in-2023/" TargetMode="External"/><Relationship Id="rId3" Type="http://schemas.openxmlformats.org/officeDocument/2006/relationships/hyperlink" Target="https://www.qlever.ru/press/top25-kpi-dlya-restorana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2" max="2" width="19.25"/>
    <col customWidth="1" min="5" max="5" width="13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>
        <v>200.0</v>
      </c>
    </row>
    <row r="3">
      <c r="A3" s="3" t="s">
        <v>2</v>
      </c>
      <c r="B3" s="3">
        <v>1500.0</v>
      </c>
    </row>
    <row r="4">
      <c r="A4" s="3" t="s">
        <v>3</v>
      </c>
      <c r="B4" s="3">
        <v>700.0</v>
      </c>
    </row>
    <row r="5">
      <c r="A5" s="3"/>
      <c r="C5" s="4"/>
    </row>
    <row r="6">
      <c r="A6" s="3" t="s">
        <v>4</v>
      </c>
      <c r="B6" s="5">
        <f>B2*C6</f>
        <v>230</v>
      </c>
      <c r="C6" s="4">
        <f>115%</f>
        <v>1.15</v>
      </c>
    </row>
    <row r="7">
      <c r="A7" s="3" t="s">
        <v>5</v>
      </c>
      <c r="B7" s="5">
        <f>B6*C7</f>
        <v>80.5</v>
      </c>
      <c r="C7" s="4">
        <f>1-C8</f>
        <v>0.35</v>
      </c>
    </row>
    <row r="8">
      <c r="A8" s="3" t="s">
        <v>6</v>
      </c>
      <c r="B8" s="5">
        <f>B6*C8</f>
        <v>149.5</v>
      </c>
      <c r="C8" s="4">
        <v>0.65</v>
      </c>
    </row>
    <row r="9">
      <c r="A9" s="3"/>
      <c r="C9" s="4"/>
    </row>
    <row r="10">
      <c r="A10" s="3" t="s">
        <v>7</v>
      </c>
      <c r="C10" s="4"/>
    </row>
    <row r="11">
      <c r="A11" s="6" t="s">
        <v>8</v>
      </c>
      <c r="B11" s="7">
        <f>B8*C11</f>
        <v>59.8</v>
      </c>
      <c r="C11" s="8">
        <v>0.4</v>
      </c>
    </row>
    <row r="12">
      <c r="A12" s="9" t="s">
        <v>9</v>
      </c>
      <c r="B12" s="5">
        <f>B11*C12</f>
        <v>17.94</v>
      </c>
      <c r="C12" s="10">
        <v>0.3</v>
      </c>
    </row>
    <row r="13">
      <c r="A13" s="9" t="s">
        <v>10</v>
      </c>
      <c r="B13" s="5">
        <f>B11*C13</f>
        <v>41.86</v>
      </c>
      <c r="C13" s="10">
        <v>0.7</v>
      </c>
    </row>
    <row r="14">
      <c r="A14" s="9" t="s">
        <v>11</v>
      </c>
      <c r="B14" s="11">
        <f>B4*B12*C14</f>
        <v>14944.02</v>
      </c>
      <c r="C14" s="12">
        <f>119%</f>
        <v>1.19</v>
      </c>
    </row>
    <row r="15">
      <c r="A15" s="9" t="s">
        <v>12</v>
      </c>
      <c r="B15" s="11">
        <f>B4*B13</f>
        <v>29302</v>
      </c>
      <c r="C15" s="10"/>
    </row>
    <row r="16">
      <c r="A16" s="9"/>
      <c r="C16" s="10"/>
    </row>
    <row r="17">
      <c r="A17" s="9"/>
      <c r="C17" s="10"/>
    </row>
    <row r="18">
      <c r="A18" s="13" t="s">
        <v>13</v>
      </c>
      <c r="B18" s="14">
        <f>B8*C18</f>
        <v>89.7</v>
      </c>
      <c r="C18" s="15">
        <v>0.6</v>
      </c>
    </row>
    <row r="19">
      <c r="A19" s="16" t="s">
        <v>14</v>
      </c>
      <c r="B19" s="17">
        <f>B4*B18</f>
        <v>62790</v>
      </c>
      <c r="C19" s="18"/>
    </row>
    <row r="21">
      <c r="A21" s="6" t="s">
        <v>15</v>
      </c>
      <c r="B21" s="19"/>
    </row>
    <row r="22">
      <c r="A22" s="16" t="s">
        <v>16</v>
      </c>
      <c r="B22" s="20">
        <f>B7*B3</f>
        <v>120750</v>
      </c>
    </row>
    <row r="24">
      <c r="A24" s="21" t="s">
        <v>17</v>
      </c>
      <c r="B24" s="5">
        <f>B22+B19+B15+B14</f>
        <v>227786.02</v>
      </c>
    </row>
    <row r="25">
      <c r="A25" s="21" t="s">
        <v>18</v>
      </c>
      <c r="B25" s="5">
        <f>B2*C7*B3+B2*C8*B4</f>
        <v>196000</v>
      </c>
    </row>
    <row r="27">
      <c r="A27" s="22" t="s">
        <v>19</v>
      </c>
      <c r="B27" s="23">
        <f>B24-B25</f>
        <v>31786.02</v>
      </c>
      <c r="C27" s="3" t="s">
        <v>20</v>
      </c>
    </row>
    <row r="29">
      <c r="A29" s="24" t="s">
        <v>21</v>
      </c>
      <c r="B29" s="25">
        <f>B24/B25</f>
        <v>1.162173571</v>
      </c>
      <c r="C29" s="24" t="s">
        <v>22</v>
      </c>
      <c r="D29" s="26"/>
      <c r="E29" s="26"/>
    </row>
    <row r="32">
      <c r="A32" s="21" t="s">
        <v>23</v>
      </c>
      <c r="F32" s="3">
        <v>1000000.0</v>
      </c>
      <c r="G32" s="3">
        <v>1500000.0</v>
      </c>
    </row>
    <row r="33">
      <c r="A33" s="27" t="s">
        <v>24</v>
      </c>
      <c r="B33" s="3" t="s">
        <v>25</v>
      </c>
      <c r="D33" s="3" t="s">
        <v>26</v>
      </c>
      <c r="E33" s="3" t="s">
        <v>27</v>
      </c>
      <c r="F33" s="3" t="s">
        <v>28</v>
      </c>
      <c r="I33" s="28" t="s">
        <v>29</v>
      </c>
      <c r="J33" s="29"/>
    </row>
    <row r="34">
      <c r="A34" s="3"/>
      <c r="B34" s="3"/>
      <c r="D34" s="3"/>
      <c r="I34" s="30" t="s">
        <v>30</v>
      </c>
      <c r="J34" s="30" t="s">
        <v>31</v>
      </c>
    </row>
    <row r="35">
      <c r="A35" s="27" t="s">
        <v>32</v>
      </c>
      <c r="B35" s="3" t="s">
        <v>33</v>
      </c>
      <c r="E35" s="3">
        <v>100.0</v>
      </c>
      <c r="F35" s="3" t="s">
        <v>34</v>
      </c>
      <c r="I35" s="31">
        <f>F32/(B27-E35-E36)</f>
        <v>34.86018625</v>
      </c>
      <c r="J35" s="31">
        <f>G32/(B27-E35-E36)</f>
        <v>52.29027938</v>
      </c>
      <c r="K35" s="3" t="s">
        <v>35</v>
      </c>
    </row>
    <row r="36">
      <c r="B36" s="3" t="s">
        <v>36</v>
      </c>
      <c r="D36" s="3" t="s">
        <v>37</v>
      </c>
      <c r="E36" s="3">
        <v>3000.0</v>
      </c>
      <c r="F36" s="3" t="s">
        <v>34</v>
      </c>
    </row>
    <row r="40">
      <c r="A40" s="1" t="s">
        <v>38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39</v>
      </c>
    </row>
    <row r="42">
      <c r="A42" s="3" t="s">
        <v>40</v>
      </c>
    </row>
    <row r="43">
      <c r="A43" s="3" t="s">
        <v>41</v>
      </c>
      <c r="B43" s="3" t="s">
        <v>42</v>
      </c>
      <c r="C43" s="3"/>
      <c r="D43" s="3"/>
      <c r="E43" s="3"/>
      <c r="F43" s="3"/>
      <c r="G43" s="3"/>
    </row>
    <row r="44">
      <c r="A44" s="3" t="s">
        <v>43</v>
      </c>
      <c r="B44" s="3" t="s">
        <v>44</v>
      </c>
    </row>
    <row r="46">
      <c r="A46" s="1" t="s">
        <v>45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8">
      <c r="A48" s="3" t="s">
        <v>46</v>
      </c>
      <c r="B48" s="3">
        <v>4.0</v>
      </c>
      <c r="C48" s="3" t="s">
        <v>47</v>
      </c>
    </row>
    <row r="49">
      <c r="A49" s="3" t="s">
        <v>48</v>
      </c>
      <c r="B49" s="3">
        <v>3.0</v>
      </c>
      <c r="C49" s="3" t="s">
        <v>49</v>
      </c>
    </row>
    <row r="50">
      <c r="A50" s="3" t="s">
        <v>50</v>
      </c>
      <c r="B50" s="3">
        <v>3.0</v>
      </c>
      <c r="C50" s="3" t="s">
        <v>51</v>
      </c>
    </row>
    <row r="51">
      <c r="A51" s="3" t="s">
        <v>52</v>
      </c>
      <c r="B51" s="3">
        <v>3.0</v>
      </c>
      <c r="C51" s="3" t="s">
        <v>53</v>
      </c>
    </row>
    <row r="53">
      <c r="A53" s="3" t="s">
        <v>54</v>
      </c>
      <c r="B53" s="5">
        <f>B48*B49*B50/B51</f>
        <v>12</v>
      </c>
    </row>
    <row r="57">
      <c r="A57" s="3" t="s">
        <v>55</v>
      </c>
    </row>
    <row r="58">
      <c r="A58" s="32" t="s">
        <v>56</v>
      </c>
    </row>
    <row r="59">
      <c r="A59" s="32" t="s">
        <v>57</v>
      </c>
    </row>
    <row r="60">
      <c r="A60" s="32" t="s">
        <v>58</v>
      </c>
    </row>
  </sheetData>
  <mergeCells count="1">
    <mergeCell ref="B44:G44"/>
  </mergeCells>
  <hyperlinks>
    <hyperlink r:id="rId1" ref="A58"/>
    <hyperlink r:id="rId2" ref="A59"/>
    <hyperlink r:id="rId3" ref="A60"/>
  </hyperlinks>
  <drawing r:id="rId4"/>
</worksheet>
</file>