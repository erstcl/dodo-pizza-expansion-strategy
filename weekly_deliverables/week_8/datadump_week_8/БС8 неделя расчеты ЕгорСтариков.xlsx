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stcl/Library/Mobile Documents/com~apple~CloudDocs/ЦУ /Первый семестр/Business Studio/"/>
    </mc:Choice>
  </mc:AlternateContent>
  <xr:revisionPtr revIDLastSave="0" documentId="13_ncr:1_{73FE0CA2-1C6F-3A47-90ED-631CBEE3B19A}" xr6:coauthVersionLast="47" xr6:coauthVersionMax="47" xr10:uidLastSave="{00000000-0000-0000-0000-000000000000}"/>
  <bookViews>
    <workbookView xWindow="380" yWindow="500" windowWidth="28040" windowHeight="16940" xr2:uid="{21AE4879-AEE6-0543-80E6-A51BFF04E9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M9" i="1"/>
  <c r="M8" i="1"/>
  <c r="M7" i="1"/>
  <c r="E6" i="1"/>
  <c r="F6" i="1"/>
  <c r="D6" i="1"/>
  <c r="D5" i="1"/>
  <c r="E5" i="1"/>
  <c r="F5" i="1"/>
  <c r="F4" i="1"/>
  <c r="M6" i="1"/>
  <c r="I6" i="1"/>
  <c r="I9" i="1" s="1"/>
</calcChain>
</file>

<file path=xl/sharedStrings.xml><?xml version="1.0" encoding="utf-8"?>
<sst xmlns="http://schemas.openxmlformats.org/spreadsheetml/2006/main" count="27" uniqueCount="26">
  <si>
    <t>Средняя стоимость напольной кассы самобслуживания</t>
  </si>
  <si>
    <t>Комментарий</t>
  </si>
  <si>
    <t>Стоимость работ по установке кассы</t>
  </si>
  <si>
    <t>Суммарная стоимость одной кассы</t>
  </si>
  <si>
    <t>Количество точек, в которых планируется установка</t>
  </si>
  <si>
    <t>в среднем</t>
  </si>
  <si>
    <t>Расчёты по кассам</t>
  </si>
  <si>
    <t>Расчеты по сотрудникам</t>
  </si>
  <si>
    <t>Средняя зарплата кассира</t>
  </si>
  <si>
    <t>Установка касс позволит сократить примерно половину кассиров</t>
  </si>
  <si>
    <t>Среднее количество новых касс на точку</t>
  </si>
  <si>
    <t>Суммарная стоимость установки касс с учетом затрат на обслуживание и обучение персонала на одну точку</t>
  </si>
  <si>
    <t>Выгода от снижения нагрузки на кассиров (месячная, на одной точке)</t>
  </si>
  <si>
    <t>Средний штат кассиров в пиццерии, чел</t>
  </si>
  <si>
    <t>Исходные данные</t>
  </si>
  <si>
    <t>Количество пиццерий в сети</t>
  </si>
  <si>
    <t>Выручка всей компании за месяц</t>
  </si>
  <si>
    <t>min</t>
  </si>
  <si>
    <t>max</t>
  </si>
  <si>
    <t>avg</t>
  </si>
  <si>
    <t>Выручка одной пиццерии в месяц</t>
  </si>
  <si>
    <t>Выручка одной пиццерии в год</t>
  </si>
  <si>
    <t>Выгода от снижения нагрузки на кассиров (годовая, на одной точке)</t>
  </si>
  <si>
    <t>Окупаемость инициативы, мес</t>
  </si>
  <si>
    <t>Выгода в год, %</t>
  </si>
  <si>
    <t>Стоимость установки всех касс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</si>
</sst>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,##0\ &quot;RUB&quot;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167" fontId="0" fillId="0" borderId="0" xfId="0" applyNumberForma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3875A-A486-A841-BF55-5B10CA6BAE3D}">
  <dimension ref="B1:N10"/>
  <sheetViews>
    <sheetView tabSelected="1" topLeftCell="A3" workbookViewId="0">
      <selection activeCell="L10" sqref="L10"/>
    </sheetView>
  </sheetViews>
  <sheetFormatPr baseColWidth="10" defaultRowHeight="16" x14ac:dyDescent="0.2"/>
  <cols>
    <col min="1" max="3" width="10.83203125" style="1"/>
    <col min="4" max="4" width="18.6640625" style="1" bestFit="1" customWidth="1"/>
    <col min="5" max="5" width="19.6640625" style="1" bestFit="1" customWidth="1"/>
    <col min="6" max="6" width="16" style="1" bestFit="1" customWidth="1"/>
    <col min="7" max="7" width="10.83203125" style="1"/>
    <col min="8" max="8" width="20" style="1" customWidth="1"/>
    <col min="9" max="9" width="17.33203125" style="1" bestFit="1" customWidth="1"/>
    <col min="10" max="10" width="12.5" style="1" bestFit="1" customWidth="1"/>
    <col min="11" max="11" width="10.83203125" style="1"/>
    <col min="12" max="12" width="18.1640625" style="1" customWidth="1"/>
    <col min="13" max="13" width="17.33203125" style="1" bestFit="1" customWidth="1"/>
    <col min="14" max="14" width="17.6640625" style="1" customWidth="1"/>
    <col min="15" max="16384" width="10.83203125" style="1"/>
  </cols>
  <sheetData>
    <row r="1" spans="2:14" ht="34" x14ac:dyDescent="0.2">
      <c r="B1" s="3" t="s">
        <v>14</v>
      </c>
      <c r="C1" s="3"/>
      <c r="D1" s="3"/>
      <c r="E1" s="3"/>
      <c r="F1" s="3"/>
      <c r="H1" s="1" t="s">
        <v>6</v>
      </c>
      <c r="L1" s="1" t="s">
        <v>7</v>
      </c>
    </row>
    <row r="2" spans="2:14" ht="17" x14ac:dyDescent="0.2">
      <c r="B2" s="3"/>
      <c r="C2" s="3"/>
      <c r="D2" s="3" t="s">
        <v>17</v>
      </c>
      <c r="E2" s="3" t="s">
        <v>18</v>
      </c>
      <c r="F2" s="3" t="s">
        <v>19</v>
      </c>
    </row>
    <row r="3" spans="2:14" ht="51" x14ac:dyDescent="0.2">
      <c r="B3" s="3" t="s">
        <v>15</v>
      </c>
      <c r="C3" s="2">
        <v>1166</v>
      </c>
      <c r="D3" s="3"/>
      <c r="E3" s="3"/>
      <c r="F3" s="3"/>
      <c r="H3" s="3"/>
      <c r="I3" s="3"/>
      <c r="J3" s="3" t="s">
        <v>1</v>
      </c>
      <c r="N3" s="1" t="s">
        <v>1</v>
      </c>
    </row>
    <row r="4" spans="2:14" ht="68" x14ac:dyDescent="0.2">
      <c r="B4" s="3" t="s">
        <v>16</v>
      </c>
      <c r="C4" s="3"/>
      <c r="D4" s="3">
        <v>8500000000</v>
      </c>
      <c r="E4" s="3">
        <v>10000000000</v>
      </c>
      <c r="F4" s="3">
        <f>AVERAGE(D4:E4)</f>
        <v>9250000000</v>
      </c>
      <c r="H4" s="3" t="s">
        <v>0</v>
      </c>
      <c r="I4" s="3">
        <v>250000</v>
      </c>
      <c r="J4" s="3" t="s">
        <v>5</v>
      </c>
      <c r="L4" s="1" t="s">
        <v>8</v>
      </c>
      <c r="M4" s="3">
        <v>65000</v>
      </c>
    </row>
    <row r="5" spans="2:14" ht="84" customHeight="1" x14ac:dyDescent="0.2">
      <c r="B5" s="1" t="s">
        <v>20</v>
      </c>
      <c r="D5" s="3">
        <f>(D4/$C$3)*0.9</f>
        <v>6560891.938250429</v>
      </c>
      <c r="E5" s="3">
        <f t="shared" ref="E5:F5" si="0">(E4/$C$3)*0.9</f>
        <v>7718696.3979416816</v>
      </c>
      <c r="F5" s="3">
        <f t="shared" si="0"/>
        <v>7139794.1680960553</v>
      </c>
      <c r="H5" s="3" t="s">
        <v>2</v>
      </c>
      <c r="I5" s="3">
        <v>10000</v>
      </c>
      <c r="J5" s="3"/>
      <c r="L5" s="1" t="s">
        <v>13</v>
      </c>
      <c r="M5" s="1">
        <v>10</v>
      </c>
    </row>
    <row r="6" spans="2:14" ht="94" customHeight="1" x14ac:dyDescent="0.2">
      <c r="B6" s="1" t="s">
        <v>21</v>
      </c>
      <c r="D6" s="3">
        <f>D5*12</f>
        <v>78730703.259005144</v>
      </c>
      <c r="E6" s="3">
        <f t="shared" ref="E6:F6" si="1">E5*12</f>
        <v>92624356.775300175</v>
      </c>
      <c r="F6" s="3">
        <f t="shared" si="1"/>
        <v>85677530.017152667</v>
      </c>
      <c r="H6" s="3" t="s">
        <v>3</v>
      </c>
      <c r="I6" s="3">
        <f>I4+I5</f>
        <v>260000</v>
      </c>
      <c r="J6" s="3"/>
      <c r="L6" s="1" t="s">
        <v>12</v>
      </c>
      <c r="M6" s="3">
        <f>M4*M5*0.5</f>
        <v>325000</v>
      </c>
      <c r="N6" s="1" t="s">
        <v>9</v>
      </c>
    </row>
    <row r="7" spans="2:14" ht="68" x14ac:dyDescent="0.2">
      <c r="H7" s="3" t="s">
        <v>4</v>
      </c>
      <c r="I7" s="2">
        <v>750</v>
      </c>
      <c r="J7" s="3"/>
      <c r="L7" s="1" t="s">
        <v>22</v>
      </c>
      <c r="M7" s="3">
        <f>M6*12</f>
        <v>3900000</v>
      </c>
    </row>
    <row r="8" spans="2:14" ht="34" x14ac:dyDescent="0.2">
      <c r="H8" s="3" t="s">
        <v>10</v>
      </c>
      <c r="I8" s="2">
        <v>4</v>
      </c>
      <c r="J8" s="3"/>
      <c r="L8" s="1" t="s">
        <v>23</v>
      </c>
      <c r="M8" s="1">
        <f>I9/M6</f>
        <v>3.52</v>
      </c>
    </row>
    <row r="9" spans="2:14" ht="102" x14ac:dyDescent="0.2">
      <c r="H9" s="3" t="s">
        <v>11</v>
      </c>
      <c r="I9" s="3">
        <f>I6*I8*1.1</f>
        <v>1144000</v>
      </c>
      <c r="J9" s="3"/>
      <c r="L9" s="1" t="s">
        <v>24</v>
      </c>
      <c r="M9" s="4">
        <f>M7/F6</f>
        <v>4.5519519519519512E-2</v>
      </c>
    </row>
    <row r="10" spans="2:14" ht="92" customHeight="1" x14ac:dyDescent="0.2">
      <c r="H10" s="1" t="s">
        <v>25</v>
      </c>
      <c r="I10" s="3">
        <f>I9*I7</f>
        <v>858000000</v>
      </c>
      <c r="M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Egor Starikov</dc:creator>
  <cp:lastModifiedBy>Egor Starikov</cp:lastModifiedBy>
  <dcterms:created xsi:type="dcterms:W3CDTF">2024-11-03T18:59:40Z</dcterms:created>
  <dcterms:modified xsi:type="dcterms:W3CDTF">2024-11-04T00:32:07Z</dcterms:modified>
</cp:coreProperties>
</file>