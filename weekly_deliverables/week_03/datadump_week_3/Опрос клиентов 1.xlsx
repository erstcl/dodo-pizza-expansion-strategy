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Подсчеты" sheetId="2" r:id="rId5"/>
  </sheets>
  <definedNames>
    <definedName hidden="1" localSheetId="0" name="_xlnm._FilterDatabase">'Ответы на форму (1)'!$A$1:$S$158</definedName>
  </definedNames>
  <calcPr/>
</workbook>
</file>

<file path=xl/sharedStrings.xml><?xml version="1.0" encoding="utf-8"?>
<sst xmlns="http://schemas.openxmlformats.org/spreadsheetml/2006/main" count="1538" uniqueCount="156">
  <si>
    <t>Отметка времени</t>
  </si>
  <si>
    <t>В какую возрастную категорию вы входите?</t>
  </si>
  <si>
    <t>Какого вы пола?</t>
  </si>
  <si>
    <t>Из какого вы города?</t>
  </si>
  <si>
    <t>Есть ли у вас дети?</t>
  </si>
  <si>
    <t>Как часто вы питаетесь стритфудом?</t>
  </si>
  <si>
    <t>Какой стритфуд вы предпочитаете больше всего?</t>
  </si>
  <si>
    <t>Пиццу какого бренда вы предпочитаете?</t>
  </si>
  <si>
    <t>В какое время вы обычно ходите в заведения стрифуда?</t>
  </si>
  <si>
    <t>Как вы оцениваете вкус и качество продукции Додо Пиццы</t>
  </si>
  <si>
    <t>Как вы оцениваете качество доставки ДодоПиццы</t>
  </si>
  <si>
    <t>Как вы оцениваете цены на продукцию ДодоПиццы?</t>
  </si>
  <si>
    <t>Как вы оцениваете качество обслуживания клиентов ДодоПиццы в целом?</t>
  </si>
  <si>
    <t>Как вы оцениваете удобство сайта или приложения для оформления заказа?</t>
  </si>
  <si>
    <t>Как вы оцениваете программу лояльности ДодоПиццы?</t>
  </si>
  <si>
    <t>Как часто вы заказываете пиццу в ДодоПицце?</t>
  </si>
  <si>
    <t>С какой вероятностью вы бы порекомендовали ДодоПиццу знакомым и родственникам?</t>
  </si>
  <si>
    <t>Какой ваш ежемесячный доход?</t>
  </si>
  <si>
    <t>Какую долю ваших ежемесячных расходов составляет посещение кафе и ресторанов?</t>
  </si>
  <si>
    <t>&lt;18 лет</t>
  </si>
  <si>
    <t>Мужчина</t>
  </si>
  <si>
    <t>Казань</t>
  </si>
  <si>
    <t>Нет</t>
  </si>
  <si>
    <t>Часто (раз в неделю)</t>
  </si>
  <si>
    <t>Пицца</t>
  </si>
  <si>
    <t>ДодоПицца</t>
  </si>
  <si>
    <t>Днем (с 12:00 до 18:00)</t>
  </si>
  <si>
    <t>&lt;50 тыс.</t>
  </si>
  <si>
    <t>10 - 20</t>
  </si>
  <si>
    <t>18 - 25 лет</t>
  </si>
  <si>
    <t>Королёв</t>
  </si>
  <si>
    <t>Всё, по настроению</t>
  </si>
  <si>
    <t>Вечером (с 18:00 до 24:00)</t>
  </si>
  <si>
    <t>10 - 20 %</t>
  </si>
  <si>
    <t>Женщина</t>
  </si>
  <si>
    <t>Москва</t>
  </si>
  <si>
    <t>Бургеры</t>
  </si>
  <si>
    <t>Папа Джонс</t>
  </si>
  <si>
    <t>20 - 30 %</t>
  </si>
  <si>
    <t>Киров</t>
  </si>
  <si>
    <t>Иногда (раз в пару недель)</t>
  </si>
  <si>
    <t>Роллы</t>
  </si>
  <si>
    <t>Менее 5%</t>
  </si>
  <si>
    <t>Санкт-Петербург</t>
  </si>
  <si>
    <t>Все, кроме хот-догов</t>
  </si>
  <si>
    <t>Шаверма</t>
  </si>
  <si>
    <t>5 - 10 %</t>
  </si>
  <si>
    <t>Иннополис</t>
  </si>
  <si>
    <t>50 тыс. - 100 тыс.</t>
  </si>
  <si>
    <t>Москвп</t>
  </si>
  <si>
    <t>Елабуга</t>
  </si>
  <si>
    <t>Шаурма</t>
  </si>
  <si>
    <t xml:space="preserve">Зеленодольск </t>
  </si>
  <si>
    <t>Очень редко (раз в несколько месяцев)</t>
  </si>
  <si>
    <t>Волгодонск</t>
  </si>
  <si>
    <t xml:space="preserve">Королёв </t>
  </si>
  <si>
    <t>это всё не пиццы, сходите в PiuPiu или Сладкую Италию (второе в Королёве)</t>
  </si>
  <si>
    <t>100 - 250 тыс.</t>
  </si>
  <si>
    <t>Domino's Pizza</t>
  </si>
  <si>
    <t xml:space="preserve">Москва </t>
  </si>
  <si>
    <t>IL Патио</t>
  </si>
  <si>
    <t>Спб</t>
  </si>
  <si>
    <t>Казанььььь</t>
  </si>
  <si>
    <t>Все</t>
  </si>
  <si>
    <t>Сочи</t>
  </si>
  <si>
    <t>АЛАБУГА</t>
  </si>
  <si>
    <t>Хот-доги</t>
  </si>
  <si>
    <t>Королев</t>
  </si>
  <si>
    <t>королев</t>
  </si>
  <si>
    <t>Да</t>
  </si>
  <si>
    <t>Екатеринбург</t>
  </si>
  <si>
    <t>Более 50 %</t>
  </si>
  <si>
    <t>Красногорск</t>
  </si>
  <si>
    <t>москва</t>
  </si>
  <si>
    <t>Киев</t>
  </si>
  <si>
    <t>30 - 50 %</t>
  </si>
  <si>
    <t>ВСЁЁЁ</t>
  </si>
  <si>
    <t xml:space="preserve">Мск </t>
  </si>
  <si>
    <t>Не предпочитаю</t>
  </si>
  <si>
    <t>Больше 65 лет</t>
  </si>
  <si>
    <t>Нью-йорк, Украина</t>
  </si>
  <si>
    <t>Постоянно (каждый день)</t>
  </si>
  <si>
    <t>&gt;250 тыс.</t>
  </si>
  <si>
    <t>Pizza Hut</t>
  </si>
  <si>
    <t>Роллы в какой-то забегаловке у офиса яндекса</t>
  </si>
  <si>
    <t>Челябинск</t>
  </si>
  <si>
    <t>Холодной город Мурманск</t>
  </si>
  <si>
    <t>Утром (до 12:00)</t>
  </si>
  <si>
    <t xml:space="preserve">Жуковский </t>
  </si>
  <si>
    <t xml:space="preserve">Владимир </t>
  </si>
  <si>
    <t>Омск</t>
  </si>
  <si>
    <t>41 - 65 лет</t>
  </si>
  <si>
    <t>Караганда</t>
  </si>
  <si>
    <t xml:space="preserve">Блины (теремок) </t>
  </si>
  <si>
    <t xml:space="preserve">Елизово </t>
  </si>
  <si>
    <t>Уфа</t>
  </si>
  <si>
    <t xml:space="preserve">Ивантеевка </t>
  </si>
  <si>
    <t xml:space="preserve">Электрогорск </t>
  </si>
  <si>
    <t>Кабуки</t>
  </si>
  <si>
    <t xml:space="preserve">Казань </t>
  </si>
  <si>
    <t xml:space="preserve">Королев </t>
  </si>
  <si>
    <t>Особо без разницы</t>
  </si>
  <si>
    <t>Красноярск</t>
  </si>
  <si>
    <t xml:space="preserve">Югорск </t>
  </si>
  <si>
    <t>Из столовки школьной</t>
  </si>
  <si>
    <t xml:space="preserve">Хабаровск </t>
  </si>
  <si>
    <t>Всё и побольше</t>
  </si>
  <si>
    <t>жопа</t>
  </si>
  <si>
    <t>говно</t>
  </si>
  <si>
    <t>писюны</t>
  </si>
  <si>
    <t xml:space="preserve">Картошка фри и наггетсы </t>
  </si>
  <si>
    <t>Любого</t>
  </si>
  <si>
    <t xml:space="preserve">Ту что вкусная и не дорого. В какой-нибудь забегаловки у дома. </t>
  </si>
  <si>
    <t>Москва/Балашиха</t>
  </si>
  <si>
    <t>SPAR</t>
  </si>
  <si>
    <t xml:space="preserve">Брянск </t>
  </si>
  <si>
    <t>Курган/Москва</t>
  </si>
  <si>
    <t>Пробовала только Додо, но не могу сказать, что предпочитаю её</t>
  </si>
  <si>
    <t>Pizzamore</t>
  </si>
  <si>
    <t>Курск</t>
  </si>
  <si>
    <t xml:space="preserve">Чикн бунгер </t>
  </si>
  <si>
    <t xml:space="preserve">Мама Рома ням ням </t>
  </si>
  <si>
    <t xml:space="preserve">казань </t>
  </si>
  <si>
    <t>Нет предпочтений</t>
  </si>
  <si>
    <t>Волжский</t>
  </si>
  <si>
    <t>Картофель фри</t>
  </si>
  <si>
    <t>Севастополь</t>
  </si>
  <si>
    <t>Лоло пицца</t>
  </si>
  <si>
    <t>maskva</t>
  </si>
  <si>
    <t>govno</t>
  </si>
  <si>
    <t>zhopa</t>
  </si>
  <si>
    <t>Ростов-на-Дону</t>
  </si>
  <si>
    <t>Владикавказ</t>
  </si>
  <si>
    <t>Какая будет:)</t>
  </si>
  <si>
    <t xml:space="preserve">Токио Сити </t>
  </si>
  <si>
    <t>Питер</t>
  </si>
  <si>
    <t>Процент мужчин</t>
  </si>
  <si>
    <t>Питаютс очень редко</t>
  </si>
  <si>
    <t>Предпочитают пиццу</t>
  </si>
  <si>
    <t>Предпочитают пиццу Додо</t>
  </si>
  <si>
    <t>Средняя вероятность рекомендации</t>
  </si>
  <si>
    <t>Питаются иногда</t>
  </si>
  <si>
    <t>Питаются чаще 1 раза в неделю</t>
  </si>
  <si>
    <t>Доход &lt;50 тыс.</t>
  </si>
  <si>
    <t>Доля в кошекльке</t>
  </si>
  <si>
    <t>Средяя оценка по показателям</t>
  </si>
  <si>
    <t>Продукция</t>
  </si>
  <si>
    <t>Доставка</t>
  </si>
  <si>
    <t>Цены</t>
  </si>
  <si>
    <t>Обслуживание</t>
  </si>
  <si>
    <t>Удобство сайта</t>
  </si>
  <si>
    <t>Прог. лояльности</t>
  </si>
  <si>
    <t>Частота заказов</t>
  </si>
  <si>
    <t>NPS</t>
  </si>
  <si>
    <t>Промоутеры</t>
  </si>
  <si>
    <t>Детракторы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</si>
</sst>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10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Ответы на форму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19050</xdr:rowOff>
    </xdr:from>
    <xdr:ext cx="7762875" cy="5353050"/>
    <xdr:pic>
      <xdr:nvPicPr>
        <xdr:cNvPr id="1840243187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S158" displayName="Form_Responses1" name="Form_Responses1" id="1">
  <autoFilter ref="$A$1:$S$158"/>
  <tableColumns count="19">
    <tableColumn name="Отметка времени" id="1"/>
    <tableColumn name="В какую возрастную категорию вы входите?" id="2"/>
    <tableColumn name="Какого вы пола?" id="3"/>
    <tableColumn name="Из какого вы города?" id="4"/>
    <tableColumn name="Есть ли у вас дети?" id="5"/>
    <tableColumn name="Как часто вы питаетесь стритфудом?" id="6"/>
    <tableColumn name="Какой стритфуд вы предпочитаете больше всего?" id="7"/>
    <tableColumn name="Пиццу какого бренда вы предпочитаете?" id="8"/>
    <tableColumn name="В какое время вы обычно ходите в заведения стрифуда?" id="9"/>
    <tableColumn name="Как вы оцениваете вкус и качество продукции Додо Пиццы" id="10"/>
    <tableColumn name="Как вы оцениваете качество доставки ДодоПиццы" id="11"/>
    <tableColumn name="Как вы оцениваете цены на продукцию ДодоПиццы?" id="12"/>
    <tableColumn name="Как вы оцениваете качество обслуживания клиентов ДодоПиццы в целом?" id="13"/>
    <tableColumn name="Как вы оцениваете удобство сайта или приложения для оформления заказа?" id="14"/>
    <tableColumn name="Как вы оцениваете программу лояльности ДодоПиццы?" id="15"/>
    <tableColumn name="Как часто вы заказываете пиццу в ДодоПицце?" id="16"/>
    <tableColumn name="С какой вероятностью вы бы порекомендовали ДодоПиццу знакомым и родственникам?" id="17"/>
    <tableColumn name="Какой ваш ежемесячный доход?" id="18"/>
    <tableColumn name="Какую долю ваших ежемесячных расходов составляет посещение кафе и ресторанов?" id="19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7.63"/>
    <col customWidth="1" min="3" max="3" width="18.88"/>
    <col customWidth="1" min="4" max="4" width="22.0"/>
    <col customWidth="1" min="5" max="5" width="20.13"/>
    <col customWidth="1" min="6" max="6" width="34.0"/>
    <col customWidth="1" min="7" max="7" width="37.63"/>
    <col customWidth="1" min="8" max="8" width="36.88"/>
    <col customWidth="1" min="9" max="9" width="37.63"/>
    <col customWidth="1" min="10" max="17" width="17.25"/>
    <col customWidth="1" min="18" max="18" width="30.5"/>
    <col customWidth="1" min="19" max="19" width="37.63"/>
    <col customWidth="1" min="20" max="2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</row>
    <row r="2">
      <c r="A2" s="5">
        <v>45556.92132674769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4.0</v>
      </c>
      <c r="K2" s="6">
        <v>5.0</v>
      </c>
      <c r="L2" s="6">
        <v>3.0</v>
      </c>
      <c r="M2" s="6">
        <v>5.0</v>
      </c>
      <c r="N2" s="6">
        <v>5.0</v>
      </c>
      <c r="O2" s="6">
        <v>5.0</v>
      </c>
      <c r="P2" s="6">
        <v>3.0</v>
      </c>
      <c r="Q2" s="6">
        <v>5.0</v>
      </c>
      <c r="R2" s="6" t="s">
        <v>27</v>
      </c>
      <c r="S2" s="7" t="s">
        <v>28</v>
      </c>
    </row>
    <row r="3">
      <c r="A3" s="8">
        <v>45556.93929353009</v>
      </c>
      <c r="B3" s="9" t="s">
        <v>29</v>
      </c>
      <c r="C3" s="9" t="s">
        <v>20</v>
      </c>
      <c r="D3" s="9" t="s">
        <v>30</v>
      </c>
      <c r="E3" s="9" t="s">
        <v>22</v>
      </c>
      <c r="F3" s="9" t="s">
        <v>23</v>
      </c>
      <c r="G3" s="9" t="s">
        <v>31</v>
      </c>
      <c r="H3" s="9" t="s">
        <v>25</v>
      </c>
      <c r="I3" s="9" t="s">
        <v>32</v>
      </c>
      <c r="J3" s="9">
        <v>4.0</v>
      </c>
      <c r="K3" s="9">
        <v>5.0</v>
      </c>
      <c r="L3" s="9">
        <v>4.0</v>
      </c>
      <c r="M3" s="9">
        <v>5.0</v>
      </c>
      <c r="N3" s="9">
        <v>5.0</v>
      </c>
      <c r="O3" s="9">
        <v>4.0</v>
      </c>
      <c r="P3" s="9">
        <v>3.0</v>
      </c>
      <c r="Q3" s="9">
        <v>4.0</v>
      </c>
      <c r="R3" s="9" t="s">
        <v>27</v>
      </c>
      <c r="S3" s="10" t="s">
        <v>33</v>
      </c>
    </row>
    <row r="4">
      <c r="A4" s="11">
        <v>45557.90491568287</v>
      </c>
      <c r="B4" s="12" t="s">
        <v>29</v>
      </c>
      <c r="C4" s="12" t="s">
        <v>34</v>
      </c>
      <c r="D4" s="12" t="s">
        <v>35</v>
      </c>
      <c r="E4" s="12" t="s">
        <v>22</v>
      </c>
      <c r="F4" s="12" t="s">
        <v>23</v>
      </c>
      <c r="G4" s="12" t="s">
        <v>36</v>
      </c>
      <c r="H4" s="12" t="s">
        <v>37</v>
      </c>
      <c r="I4" s="12" t="s">
        <v>26</v>
      </c>
      <c r="J4" s="12">
        <v>3.0</v>
      </c>
      <c r="K4" s="12">
        <v>3.0</v>
      </c>
      <c r="L4" s="12">
        <v>4.0</v>
      </c>
      <c r="M4" s="12">
        <v>4.0</v>
      </c>
      <c r="N4" s="12">
        <v>4.0</v>
      </c>
      <c r="O4" s="12">
        <v>4.0</v>
      </c>
      <c r="P4" s="12">
        <v>2.0</v>
      </c>
      <c r="Q4" s="12">
        <v>2.0</v>
      </c>
      <c r="R4" s="12" t="s">
        <v>27</v>
      </c>
      <c r="S4" s="13" t="s">
        <v>38</v>
      </c>
    </row>
    <row r="5">
      <c r="A5" s="8">
        <v>45557.90605958333</v>
      </c>
      <c r="B5" s="9" t="s">
        <v>29</v>
      </c>
      <c r="C5" s="9" t="s">
        <v>34</v>
      </c>
      <c r="D5" s="9" t="s">
        <v>39</v>
      </c>
      <c r="E5" s="9" t="s">
        <v>22</v>
      </c>
      <c r="F5" s="9" t="s">
        <v>40</v>
      </c>
      <c r="G5" s="9" t="s">
        <v>41</v>
      </c>
      <c r="H5" s="9" t="s">
        <v>25</v>
      </c>
      <c r="I5" s="9" t="s">
        <v>32</v>
      </c>
      <c r="J5" s="9">
        <v>5.0</v>
      </c>
      <c r="K5" s="9">
        <v>5.0</v>
      </c>
      <c r="L5" s="9">
        <v>4.0</v>
      </c>
      <c r="M5" s="9">
        <v>5.0</v>
      </c>
      <c r="N5" s="9">
        <v>5.0</v>
      </c>
      <c r="O5" s="9">
        <v>3.0</v>
      </c>
      <c r="P5" s="9">
        <v>2.0</v>
      </c>
      <c r="Q5" s="9">
        <v>5.0</v>
      </c>
      <c r="R5" s="9" t="s">
        <v>27</v>
      </c>
      <c r="S5" s="10" t="s">
        <v>42</v>
      </c>
    </row>
    <row r="6">
      <c r="A6" s="11">
        <v>45557.90620347222</v>
      </c>
      <c r="B6" s="12" t="s">
        <v>29</v>
      </c>
      <c r="C6" s="12" t="s">
        <v>20</v>
      </c>
      <c r="D6" s="12" t="s">
        <v>43</v>
      </c>
      <c r="E6" s="12" t="s">
        <v>22</v>
      </c>
      <c r="F6" s="12" t="s">
        <v>40</v>
      </c>
      <c r="G6" s="12" t="s">
        <v>44</v>
      </c>
      <c r="H6" s="12" t="s">
        <v>25</v>
      </c>
      <c r="I6" s="12" t="s">
        <v>26</v>
      </c>
      <c r="J6" s="12">
        <v>4.0</v>
      </c>
      <c r="L6" s="12">
        <v>3.0</v>
      </c>
      <c r="M6" s="12">
        <v>5.0</v>
      </c>
      <c r="N6" s="12">
        <v>5.0</v>
      </c>
      <c r="O6" s="12">
        <v>5.0</v>
      </c>
      <c r="P6" s="12">
        <v>3.0</v>
      </c>
      <c r="Q6" s="12">
        <v>4.0</v>
      </c>
      <c r="R6" s="12" t="s">
        <v>27</v>
      </c>
      <c r="S6" s="13" t="s">
        <v>33</v>
      </c>
    </row>
    <row r="7">
      <c r="A7" s="8">
        <v>45557.90622635417</v>
      </c>
      <c r="B7" s="9" t="s">
        <v>29</v>
      </c>
      <c r="C7" s="9" t="s">
        <v>20</v>
      </c>
      <c r="D7" s="9" t="s">
        <v>43</v>
      </c>
      <c r="E7" s="9" t="s">
        <v>22</v>
      </c>
      <c r="F7" s="9" t="s">
        <v>23</v>
      </c>
      <c r="G7" s="9" t="s">
        <v>45</v>
      </c>
      <c r="H7" s="9" t="s">
        <v>25</v>
      </c>
      <c r="I7" s="9" t="s">
        <v>32</v>
      </c>
      <c r="J7" s="9">
        <v>5.0</v>
      </c>
      <c r="K7" s="9">
        <v>5.0</v>
      </c>
      <c r="L7" s="9">
        <v>3.0</v>
      </c>
      <c r="M7" s="9">
        <v>5.0</v>
      </c>
      <c r="N7" s="9">
        <v>5.0</v>
      </c>
      <c r="O7" s="9">
        <v>3.0</v>
      </c>
      <c r="P7" s="9">
        <v>5.0</v>
      </c>
      <c r="Q7" s="9">
        <v>5.0</v>
      </c>
      <c r="R7" s="9" t="s">
        <v>27</v>
      </c>
      <c r="S7" s="10" t="s">
        <v>46</v>
      </c>
    </row>
    <row r="8">
      <c r="A8" s="11">
        <v>45557.906543819445</v>
      </c>
      <c r="B8" s="12" t="s">
        <v>29</v>
      </c>
      <c r="C8" s="12" t="s">
        <v>20</v>
      </c>
      <c r="D8" s="12" t="s">
        <v>35</v>
      </c>
      <c r="E8" s="12" t="s">
        <v>22</v>
      </c>
      <c r="F8" s="12" t="s">
        <v>40</v>
      </c>
      <c r="G8" s="12" t="s">
        <v>36</v>
      </c>
      <c r="H8" s="12" t="s">
        <v>25</v>
      </c>
      <c r="I8" s="12" t="s">
        <v>32</v>
      </c>
      <c r="J8" s="12">
        <v>4.0</v>
      </c>
      <c r="K8" s="12">
        <v>3.0</v>
      </c>
      <c r="L8" s="12">
        <v>4.0</v>
      </c>
      <c r="M8" s="12">
        <v>5.0</v>
      </c>
      <c r="N8" s="12">
        <v>5.0</v>
      </c>
      <c r="O8" s="12">
        <v>4.0</v>
      </c>
      <c r="P8" s="12">
        <v>3.0</v>
      </c>
      <c r="Q8" s="12">
        <v>4.0</v>
      </c>
      <c r="R8" s="12" t="s">
        <v>27</v>
      </c>
      <c r="S8" s="13" t="s">
        <v>33</v>
      </c>
    </row>
    <row r="9">
      <c r="A9" s="8">
        <v>45557.90822748843</v>
      </c>
      <c r="B9" s="9" t="s">
        <v>29</v>
      </c>
      <c r="C9" s="9" t="s">
        <v>34</v>
      </c>
      <c r="D9" s="9" t="s">
        <v>47</v>
      </c>
      <c r="E9" s="9" t="s">
        <v>22</v>
      </c>
      <c r="F9" s="9" t="s">
        <v>40</v>
      </c>
      <c r="G9" s="9" t="s">
        <v>24</v>
      </c>
      <c r="H9" s="9" t="s">
        <v>25</v>
      </c>
      <c r="I9" s="9" t="s">
        <v>32</v>
      </c>
      <c r="J9" s="9">
        <v>4.0</v>
      </c>
      <c r="K9" s="9">
        <v>5.0</v>
      </c>
      <c r="L9" s="9">
        <v>2.0</v>
      </c>
      <c r="M9" s="9">
        <v>4.0</v>
      </c>
      <c r="N9" s="9">
        <v>5.0</v>
      </c>
      <c r="O9" s="9">
        <v>4.0</v>
      </c>
      <c r="P9" s="9">
        <v>3.0</v>
      </c>
      <c r="Q9" s="9">
        <v>4.0</v>
      </c>
      <c r="R9" s="9" t="s">
        <v>27</v>
      </c>
      <c r="S9" s="10" t="s">
        <v>46</v>
      </c>
    </row>
    <row r="10">
      <c r="A10" s="11">
        <v>45557.90986915509</v>
      </c>
      <c r="B10" s="12" t="s">
        <v>29</v>
      </c>
      <c r="C10" s="12" t="s">
        <v>34</v>
      </c>
      <c r="D10" s="12" t="s">
        <v>21</v>
      </c>
      <c r="E10" s="12" t="s">
        <v>22</v>
      </c>
      <c r="F10" s="12" t="s">
        <v>40</v>
      </c>
      <c r="G10" s="12" t="s">
        <v>36</v>
      </c>
      <c r="H10" s="12" t="s">
        <v>25</v>
      </c>
      <c r="I10" s="12" t="s">
        <v>32</v>
      </c>
      <c r="J10" s="12">
        <v>4.0</v>
      </c>
      <c r="K10" s="12">
        <v>3.0</v>
      </c>
      <c r="L10" s="12">
        <v>4.0</v>
      </c>
      <c r="M10" s="12">
        <v>4.0</v>
      </c>
      <c r="N10" s="12">
        <v>5.0</v>
      </c>
      <c r="O10" s="12">
        <v>4.0</v>
      </c>
      <c r="P10" s="12">
        <v>3.0</v>
      </c>
      <c r="Q10" s="12">
        <v>3.0</v>
      </c>
      <c r="R10" s="12" t="s">
        <v>27</v>
      </c>
      <c r="S10" s="13" t="s">
        <v>46</v>
      </c>
    </row>
    <row r="11">
      <c r="A11" s="8">
        <v>45557.9116418287</v>
      </c>
      <c r="B11" s="9" t="s">
        <v>19</v>
      </c>
      <c r="C11" s="9" t="s">
        <v>20</v>
      </c>
      <c r="D11" s="9" t="s">
        <v>21</v>
      </c>
      <c r="E11" s="9" t="s">
        <v>22</v>
      </c>
      <c r="F11" s="9" t="s">
        <v>40</v>
      </c>
      <c r="G11" s="9" t="s">
        <v>36</v>
      </c>
      <c r="H11" s="9" t="s">
        <v>25</v>
      </c>
      <c r="I11" s="9" t="s">
        <v>26</v>
      </c>
      <c r="J11" s="9">
        <v>4.0</v>
      </c>
      <c r="K11" s="9">
        <v>4.0</v>
      </c>
      <c r="L11" s="9">
        <v>2.0</v>
      </c>
      <c r="M11" s="9">
        <v>5.0</v>
      </c>
      <c r="N11" s="9">
        <v>5.0</v>
      </c>
      <c r="O11" s="9">
        <v>5.0</v>
      </c>
      <c r="P11" s="9">
        <v>5.0</v>
      </c>
      <c r="Q11" s="9">
        <v>3.0</v>
      </c>
      <c r="R11" s="9" t="s">
        <v>48</v>
      </c>
      <c r="S11" s="10" t="s">
        <v>33</v>
      </c>
    </row>
    <row r="12">
      <c r="A12" s="11">
        <v>45557.9116690625</v>
      </c>
      <c r="B12" s="12" t="s">
        <v>29</v>
      </c>
      <c r="C12" s="12" t="s">
        <v>20</v>
      </c>
      <c r="D12" s="12" t="s">
        <v>49</v>
      </c>
      <c r="E12" s="12" t="s">
        <v>22</v>
      </c>
      <c r="F12" s="12" t="s">
        <v>23</v>
      </c>
      <c r="G12" s="12" t="s">
        <v>41</v>
      </c>
      <c r="H12" s="12" t="s">
        <v>25</v>
      </c>
      <c r="I12" s="12" t="s">
        <v>32</v>
      </c>
      <c r="J12" s="12">
        <v>5.0</v>
      </c>
      <c r="K12" s="12">
        <v>5.0</v>
      </c>
      <c r="L12" s="12">
        <v>5.0</v>
      </c>
      <c r="M12" s="12">
        <v>3.0</v>
      </c>
      <c r="N12" s="12">
        <v>4.0</v>
      </c>
      <c r="O12" s="12">
        <v>4.0</v>
      </c>
      <c r="P12" s="12">
        <v>5.0</v>
      </c>
      <c r="Q12" s="12">
        <v>4.0</v>
      </c>
      <c r="R12" s="12" t="s">
        <v>27</v>
      </c>
      <c r="S12" s="13" t="s">
        <v>46</v>
      </c>
    </row>
    <row r="13">
      <c r="A13" s="8">
        <v>45557.91206673611</v>
      </c>
      <c r="B13" s="9" t="s">
        <v>29</v>
      </c>
      <c r="C13" s="9" t="s">
        <v>34</v>
      </c>
      <c r="D13" s="9" t="s">
        <v>35</v>
      </c>
      <c r="E13" s="9" t="s">
        <v>22</v>
      </c>
      <c r="F13" s="9" t="s">
        <v>40</v>
      </c>
      <c r="G13" s="9" t="s">
        <v>36</v>
      </c>
      <c r="H13" s="9" t="s">
        <v>25</v>
      </c>
      <c r="I13" s="9" t="s">
        <v>26</v>
      </c>
      <c r="J13" s="9">
        <v>4.0</v>
      </c>
      <c r="K13" s="9">
        <v>5.0</v>
      </c>
      <c r="L13" s="9">
        <v>4.0</v>
      </c>
      <c r="M13" s="9">
        <v>5.0</v>
      </c>
      <c r="N13" s="9">
        <v>5.0</v>
      </c>
      <c r="O13" s="9">
        <v>5.0</v>
      </c>
      <c r="P13" s="9">
        <v>4.0</v>
      </c>
      <c r="Q13" s="9">
        <v>5.0</v>
      </c>
      <c r="R13" s="9" t="s">
        <v>27</v>
      </c>
      <c r="S13" s="10" t="s">
        <v>42</v>
      </c>
    </row>
    <row r="14">
      <c r="A14" s="11">
        <v>45557.91323824074</v>
      </c>
      <c r="B14" s="12" t="s">
        <v>29</v>
      </c>
      <c r="C14" s="12" t="s">
        <v>20</v>
      </c>
      <c r="D14" s="12" t="s">
        <v>50</v>
      </c>
      <c r="E14" s="12" t="s">
        <v>22</v>
      </c>
      <c r="F14" s="12" t="s">
        <v>40</v>
      </c>
      <c r="G14" s="12" t="s">
        <v>51</v>
      </c>
      <c r="H14" s="12" t="s">
        <v>25</v>
      </c>
      <c r="I14" s="12" t="s">
        <v>26</v>
      </c>
      <c r="J14" s="12">
        <v>4.0</v>
      </c>
      <c r="K14" s="12">
        <v>4.0</v>
      </c>
      <c r="L14" s="12">
        <v>4.0</v>
      </c>
      <c r="M14" s="12">
        <v>4.0</v>
      </c>
      <c r="N14" s="12">
        <v>3.0</v>
      </c>
      <c r="O14" s="12">
        <v>4.0</v>
      </c>
      <c r="P14" s="12">
        <v>3.0</v>
      </c>
      <c r="Q14" s="12">
        <v>5.0</v>
      </c>
      <c r="R14" s="12" t="s">
        <v>27</v>
      </c>
      <c r="S14" s="13" t="s">
        <v>46</v>
      </c>
    </row>
    <row r="15">
      <c r="A15" s="8">
        <v>45557.914241377315</v>
      </c>
      <c r="B15" s="9" t="s">
        <v>29</v>
      </c>
      <c r="C15" s="9" t="s">
        <v>34</v>
      </c>
      <c r="D15" s="9" t="s">
        <v>52</v>
      </c>
      <c r="E15" s="9" t="s">
        <v>22</v>
      </c>
      <c r="F15" s="9" t="s">
        <v>53</v>
      </c>
      <c r="G15" s="9" t="s">
        <v>51</v>
      </c>
      <c r="H15" s="9" t="s">
        <v>25</v>
      </c>
      <c r="I15" s="9" t="s">
        <v>26</v>
      </c>
      <c r="J15" s="9">
        <v>4.0</v>
      </c>
      <c r="K15" s="9">
        <v>4.0</v>
      </c>
      <c r="L15" s="9">
        <v>4.0</v>
      </c>
      <c r="M15" s="9">
        <v>5.0</v>
      </c>
      <c r="N15" s="9">
        <v>5.0</v>
      </c>
      <c r="O15" s="9">
        <v>4.0</v>
      </c>
      <c r="P15" s="9">
        <v>3.0</v>
      </c>
      <c r="Q15" s="9">
        <v>4.0</v>
      </c>
      <c r="R15" s="9" t="s">
        <v>27</v>
      </c>
      <c r="S15" s="10" t="s">
        <v>46</v>
      </c>
    </row>
    <row r="16">
      <c r="A16" s="11">
        <v>45557.91504828703</v>
      </c>
      <c r="B16" s="12" t="s">
        <v>29</v>
      </c>
      <c r="C16" s="12" t="s">
        <v>20</v>
      </c>
      <c r="D16" s="12" t="s">
        <v>54</v>
      </c>
      <c r="E16" s="12" t="s">
        <v>22</v>
      </c>
      <c r="F16" s="12" t="s">
        <v>23</v>
      </c>
      <c r="G16" s="12" t="s">
        <v>24</v>
      </c>
      <c r="H16" s="12" t="s">
        <v>25</v>
      </c>
      <c r="I16" s="12" t="s">
        <v>32</v>
      </c>
      <c r="J16" s="12">
        <v>5.0</v>
      </c>
      <c r="K16" s="12">
        <v>5.0</v>
      </c>
      <c r="L16" s="12">
        <v>4.0</v>
      </c>
      <c r="M16" s="12">
        <v>5.0</v>
      </c>
      <c r="N16" s="12">
        <v>5.0</v>
      </c>
      <c r="O16" s="12">
        <v>5.0</v>
      </c>
      <c r="P16" s="12">
        <v>4.0</v>
      </c>
      <c r="Q16" s="12">
        <v>5.0</v>
      </c>
      <c r="R16" s="12" t="s">
        <v>27</v>
      </c>
      <c r="S16" s="13" t="s">
        <v>33</v>
      </c>
    </row>
    <row r="17">
      <c r="A17" s="8">
        <v>45557.91756590278</v>
      </c>
      <c r="B17" s="9" t="s">
        <v>19</v>
      </c>
      <c r="C17" s="9" t="s">
        <v>20</v>
      </c>
      <c r="D17" s="9" t="s">
        <v>55</v>
      </c>
      <c r="E17" s="9" t="s">
        <v>22</v>
      </c>
      <c r="F17" s="9" t="s">
        <v>40</v>
      </c>
      <c r="G17" s="9" t="s">
        <v>24</v>
      </c>
      <c r="H17" s="9" t="s">
        <v>56</v>
      </c>
      <c r="I17" s="9" t="s">
        <v>32</v>
      </c>
      <c r="J17" s="9">
        <v>3.0</v>
      </c>
      <c r="K17" s="9">
        <v>4.0</v>
      </c>
      <c r="L17" s="9">
        <v>4.0</v>
      </c>
      <c r="M17" s="9">
        <v>5.0</v>
      </c>
      <c r="N17" s="9">
        <v>5.0</v>
      </c>
      <c r="O17" s="9">
        <v>5.0</v>
      </c>
      <c r="P17" s="9">
        <v>2.0</v>
      </c>
      <c r="Q17" s="9">
        <v>3.0</v>
      </c>
      <c r="R17" s="9" t="s">
        <v>57</v>
      </c>
      <c r="S17" s="10" t="s">
        <v>38</v>
      </c>
    </row>
    <row r="18">
      <c r="A18" s="11">
        <v>45557.91895818287</v>
      </c>
      <c r="B18" s="12" t="s">
        <v>19</v>
      </c>
      <c r="C18" s="12" t="s">
        <v>20</v>
      </c>
      <c r="D18" s="12" t="s">
        <v>21</v>
      </c>
      <c r="E18" s="12" t="s">
        <v>22</v>
      </c>
      <c r="F18" s="12" t="s">
        <v>40</v>
      </c>
      <c r="G18" s="12" t="s">
        <v>51</v>
      </c>
      <c r="H18" s="12" t="s">
        <v>25</v>
      </c>
      <c r="I18" s="12" t="s">
        <v>26</v>
      </c>
      <c r="J18" s="12">
        <v>4.0</v>
      </c>
      <c r="K18" s="12">
        <v>3.0</v>
      </c>
      <c r="L18" s="12">
        <v>3.0</v>
      </c>
      <c r="M18" s="12">
        <v>3.0</v>
      </c>
      <c r="N18" s="12">
        <v>4.0</v>
      </c>
      <c r="O18" s="12">
        <v>4.0</v>
      </c>
      <c r="P18" s="12">
        <v>2.0</v>
      </c>
      <c r="Q18" s="12">
        <v>4.0</v>
      </c>
      <c r="R18" s="12" t="s">
        <v>27</v>
      </c>
      <c r="S18" s="13" t="s">
        <v>33</v>
      </c>
    </row>
    <row r="19">
      <c r="A19" s="8">
        <v>45557.91941418982</v>
      </c>
      <c r="B19" s="9" t="s">
        <v>29</v>
      </c>
      <c r="C19" s="9" t="s">
        <v>34</v>
      </c>
      <c r="D19" s="9" t="s">
        <v>35</v>
      </c>
      <c r="E19" s="9" t="s">
        <v>22</v>
      </c>
      <c r="F19" s="9" t="s">
        <v>40</v>
      </c>
      <c r="G19" s="9" t="s">
        <v>36</v>
      </c>
      <c r="H19" s="9" t="s">
        <v>58</v>
      </c>
      <c r="I19" s="9" t="s">
        <v>32</v>
      </c>
      <c r="J19" s="9">
        <v>4.0</v>
      </c>
      <c r="K19" s="9">
        <v>5.0</v>
      </c>
      <c r="L19" s="9">
        <v>3.0</v>
      </c>
      <c r="M19" s="9">
        <v>4.0</v>
      </c>
      <c r="N19" s="9">
        <v>2.0</v>
      </c>
      <c r="O19" s="9">
        <v>4.0</v>
      </c>
      <c r="P19" s="9">
        <v>2.0</v>
      </c>
      <c r="Q19" s="9">
        <v>3.0</v>
      </c>
      <c r="R19" s="9" t="s">
        <v>27</v>
      </c>
      <c r="S19" s="10" t="s">
        <v>46</v>
      </c>
    </row>
    <row r="20">
      <c r="A20" s="11">
        <v>45557.92046908565</v>
      </c>
      <c r="B20" s="12" t="s">
        <v>19</v>
      </c>
      <c r="C20" s="12" t="s">
        <v>34</v>
      </c>
      <c r="D20" s="12" t="s">
        <v>59</v>
      </c>
      <c r="E20" s="12" t="s">
        <v>22</v>
      </c>
      <c r="F20" s="12" t="s">
        <v>53</v>
      </c>
      <c r="G20" s="12" t="s">
        <v>41</v>
      </c>
      <c r="H20" s="12" t="s">
        <v>60</v>
      </c>
      <c r="I20" s="12" t="s">
        <v>32</v>
      </c>
      <c r="J20" s="12">
        <v>3.0</v>
      </c>
      <c r="K20" s="12">
        <v>3.0</v>
      </c>
      <c r="L20" s="12">
        <v>4.0</v>
      </c>
      <c r="M20" s="12">
        <v>4.0</v>
      </c>
      <c r="N20" s="12">
        <v>5.0</v>
      </c>
      <c r="P20" s="12">
        <v>2.0</v>
      </c>
      <c r="Q20" s="12">
        <v>2.0</v>
      </c>
      <c r="R20" s="12" t="s">
        <v>27</v>
      </c>
      <c r="S20" s="13" t="s">
        <v>46</v>
      </c>
    </row>
    <row r="21">
      <c r="A21" s="8">
        <v>45557.92098730324</v>
      </c>
      <c r="B21" s="9" t="s">
        <v>19</v>
      </c>
      <c r="C21" s="9" t="s">
        <v>34</v>
      </c>
      <c r="D21" s="9" t="s">
        <v>21</v>
      </c>
      <c r="E21" s="9" t="s">
        <v>22</v>
      </c>
      <c r="F21" s="9" t="s">
        <v>40</v>
      </c>
      <c r="G21" s="9" t="s">
        <v>36</v>
      </c>
      <c r="H21" s="9" t="s">
        <v>25</v>
      </c>
      <c r="I21" s="9" t="s">
        <v>32</v>
      </c>
      <c r="J21" s="9">
        <v>4.0</v>
      </c>
      <c r="L21" s="9">
        <v>1.0</v>
      </c>
      <c r="M21" s="9">
        <v>4.0</v>
      </c>
      <c r="N21" s="9">
        <v>5.0</v>
      </c>
      <c r="O21" s="9">
        <v>2.0</v>
      </c>
      <c r="P21" s="9">
        <v>1.0</v>
      </c>
      <c r="Q21" s="9">
        <v>4.0</v>
      </c>
      <c r="R21" s="9" t="s">
        <v>27</v>
      </c>
      <c r="S21" s="10" t="s">
        <v>46</v>
      </c>
    </row>
    <row r="22">
      <c r="A22" s="11">
        <v>45557.92231702546</v>
      </c>
      <c r="B22" s="12" t="s">
        <v>19</v>
      </c>
      <c r="C22" s="12" t="s">
        <v>34</v>
      </c>
      <c r="D22" s="12" t="s">
        <v>21</v>
      </c>
      <c r="E22" s="12" t="s">
        <v>22</v>
      </c>
      <c r="F22" s="12" t="s">
        <v>53</v>
      </c>
      <c r="G22" s="12" t="s">
        <v>24</v>
      </c>
      <c r="H22" s="12" t="s">
        <v>25</v>
      </c>
      <c r="I22" s="12" t="s">
        <v>32</v>
      </c>
      <c r="J22" s="12">
        <v>5.0</v>
      </c>
      <c r="K22" s="12">
        <v>5.0</v>
      </c>
      <c r="L22" s="12">
        <v>4.0</v>
      </c>
      <c r="M22" s="12">
        <v>5.0</v>
      </c>
      <c r="N22" s="12">
        <v>5.0</v>
      </c>
      <c r="O22" s="12">
        <v>5.0</v>
      </c>
      <c r="P22" s="12">
        <v>3.0</v>
      </c>
      <c r="Q22" s="12">
        <v>5.0</v>
      </c>
      <c r="R22" s="12" t="s">
        <v>27</v>
      </c>
      <c r="S22" s="13" t="s">
        <v>33</v>
      </c>
    </row>
    <row r="23">
      <c r="A23" s="8">
        <v>45557.92545605324</v>
      </c>
      <c r="B23" s="9" t="s">
        <v>19</v>
      </c>
      <c r="C23" s="9" t="s">
        <v>34</v>
      </c>
      <c r="D23" s="9" t="s">
        <v>61</v>
      </c>
      <c r="E23" s="9" t="s">
        <v>22</v>
      </c>
      <c r="F23" s="9" t="s">
        <v>40</v>
      </c>
      <c r="G23" s="9" t="s">
        <v>36</v>
      </c>
      <c r="H23" s="9" t="s">
        <v>25</v>
      </c>
      <c r="I23" s="9" t="s">
        <v>32</v>
      </c>
      <c r="J23" s="9">
        <v>5.0</v>
      </c>
      <c r="K23" s="9">
        <v>4.0</v>
      </c>
      <c r="L23" s="9">
        <v>3.0</v>
      </c>
      <c r="M23" s="9">
        <v>5.0</v>
      </c>
      <c r="N23" s="9">
        <v>5.0</v>
      </c>
      <c r="O23" s="9">
        <v>3.0</v>
      </c>
      <c r="P23" s="9">
        <v>2.0</v>
      </c>
      <c r="Q23" s="9">
        <v>3.0</v>
      </c>
      <c r="R23" s="9" t="s">
        <v>27</v>
      </c>
      <c r="S23" s="10" t="s">
        <v>46</v>
      </c>
    </row>
    <row r="24">
      <c r="A24" s="11">
        <v>45557.92549207176</v>
      </c>
      <c r="B24" s="12" t="s">
        <v>29</v>
      </c>
      <c r="C24" s="12" t="s">
        <v>34</v>
      </c>
      <c r="D24" s="12" t="s">
        <v>62</v>
      </c>
      <c r="E24" s="12" t="s">
        <v>22</v>
      </c>
      <c r="F24" s="12" t="s">
        <v>40</v>
      </c>
      <c r="G24" s="12" t="s">
        <v>63</v>
      </c>
      <c r="H24" s="12" t="s">
        <v>25</v>
      </c>
      <c r="I24" s="12" t="s">
        <v>26</v>
      </c>
      <c r="J24" s="12">
        <v>4.0</v>
      </c>
      <c r="K24" s="12">
        <v>4.0</v>
      </c>
      <c r="L24" s="12">
        <v>4.0</v>
      </c>
      <c r="M24" s="12">
        <v>3.0</v>
      </c>
      <c r="N24" s="12">
        <v>4.0</v>
      </c>
      <c r="O24" s="12">
        <v>4.0</v>
      </c>
      <c r="P24" s="12">
        <v>3.0</v>
      </c>
      <c r="Q24" s="12">
        <v>4.0</v>
      </c>
      <c r="R24" s="12" t="s">
        <v>27</v>
      </c>
      <c r="S24" s="13" t="s">
        <v>38</v>
      </c>
    </row>
    <row r="25">
      <c r="A25" s="8">
        <v>45557.92602109954</v>
      </c>
      <c r="B25" s="9" t="s">
        <v>29</v>
      </c>
      <c r="C25" s="9" t="s">
        <v>34</v>
      </c>
      <c r="D25" s="9" t="s">
        <v>64</v>
      </c>
      <c r="E25" s="9" t="s">
        <v>22</v>
      </c>
      <c r="F25" s="9" t="s">
        <v>40</v>
      </c>
      <c r="G25" s="9" t="s">
        <v>36</v>
      </c>
      <c r="H25" s="9" t="s">
        <v>25</v>
      </c>
      <c r="I25" s="9" t="s">
        <v>26</v>
      </c>
      <c r="J25" s="9">
        <v>3.0</v>
      </c>
      <c r="K25" s="9">
        <v>4.0</v>
      </c>
      <c r="L25" s="9">
        <v>3.0</v>
      </c>
      <c r="M25" s="9">
        <v>4.0</v>
      </c>
      <c r="N25" s="9">
        <v>5.0</v>
      </c>
      <c r="O25" s="9">
        <v>5.0</v>
      </c>
      <c r="P25" s="9">
        <v>2.0</v>
      </c>
      <c r="Q25" s="9">
        <v>4.0</v>
      </c>
      <c r="R25" s="9" t="s">
        <v>27</v>
      </c>
      <c r="S25" s="10" t="s">
        <v>46</v>
      </c>
    </row>
    <row r="26">
      <c r="A26" s="11">
        <v>45557.926661261576</v>
      </c>
      <c r="B26" s="12" t="s">
        <v>29</v>
      </c>
      <c r="C26" s="12" t="s">
        <v>20</v>
      </c>
      <c r="D26" s="12" t="s">
        <v>65</v>
      </c>
      <c r="E26" s="12" t="s">
        <v>22</v>
      </c>
      <c r="F26" s="12" t="s">
        <v>23</v>
      </c>
      <c r="G26" s="12" t="s">
        <v>36</v>
      </c>
      <c r="H26" s="12" t="s">
        <v>25</v>
      </c>
      <c r="I26" s="12" t="s">
        <v>32</v>
      </c>
      <c r="J26" s="12">
        <v>5.0</v>
      </c>
      <c r="K26" s="12">
        <v>3.0</v>
      </c>
      <c r="L26" s="12">
        <v>1.0</v>
      </c>
      <c r="M26" s="12">
        <v>4.0</v>
      </c>
      <c r="N26" s="12">
        <v>5.0</v>
      </c>
      <c r="O26" s="12">
        <v>5.0</v>
      </c>
      <c r="P26" s="12">
        <v>3.0</v>
      </c>
      <c r="Q26" s="12">
        <v>5.0</v>
      </c>
      <c r="R26" s="12" t="s">
        <v>27</v>
      </c>
      <c r="S26" s="13" t="s">
        <v>33</v>
      </c>
    </row>
    <row r="27">
      <c r="A27" s="8">
        <v>45557.92858278935</v>
      </c>
      <c r="B27" s="9" t="s">
        <v>19</v>
      </c>
      <c r="C27" s="9" t="s">
        <v>20</v>
      </c>
      <c r="D27" s="9" t="s">
        <v>50</v>
      </c>
      <c r="E27" s="9" t="s">
        <v>22</v>
      </c>
      <c r="F27" s="9" t="s">
        <v>40</v>
      </c>
      <c r="G27" s="9" t="s">
        <v>51</v>
      </c>
      <c r="H27" s="9" t="s">
        <v>25</v>
      </c>
      <c r="I27" s="9" t="s">
        <v>32</v>
      </c>
      <c r="J27" s="9">
        <v>5.0</v>
      </c>
      <c r="K27" s="9">
        <v>4.0</v>
      </c>
      <c r="L27" s="9">
        <v>3.0</v>
      </c>
      <c r="M27" s="9">
        <v>5.0</v>
      </c>
      <c r="N27" s="9">
        <v>5.0</v>
      </c>
      <c r="O27" s="9">
        <v>4.0</v>
      </c>
      <c r="P27" s="9">
        <v>3.0</v>
      </c>
      <c r="Q27" s="9">
        <v>4.0</v>
      </c>
      <c r="R27" s="9" t="s">
        <v>27</v>
      </c>
      <c r="S27" s="10" t="s">
        <v>42</v>
      </c>
    </row>
    <row r="28">
      <c r="A28" s="11">
        <v>45557.928634826385</v>
      </c>
      <c r="B28" s="12" t="s">
        <v>29</v>
      </c>
      <c r="C28" s="12" t="s">
        <v>20</v>
      </c>
      <c r="D28" s="12" t="s">
        <v>59</v>
      </c>
      <c r="E28" s="12" t="s">
        <v>22</v>
      </c>
      <c r="F28" s="12" t="s">
        <v>23</v>
      </c>
      <c r="G28" s="12" t="s">
        <v>36</v>
      </c>
      <c r="H28" s="12" t="s">
        <v>25</v>
      </c>
      <c r="I28" s="12" t="s">
        <v>32</v>
      </c>
      <c r="J28" s="12">
        <v>4.0</v>
      </c>
      <c r="K28" s="12">
        <v>4.0</v>
      </c>
      <c r="L28" s="12">
        <v>4.0</v>
      </c>
      <c r="M28" s="12">
        <v>4.0</v>
      </c>
      <c r="N28" s="12">
        <v>5.0</v>
      </c>
      <c r="O28" s="12">
        <v>3.0</v>
      </c>
      <c r="P28" s="12">
        <v>3.0</v>
      </c>
      <c r="Q28" s="12">
        <v>4.0</v>
      </c>
      <c r="R28" s="12" t="s">
        <v>48</v>
      </c>
      <c r="S28" s="13" t="s">
        <v>46</v>
      </c>
    </row>
    <row r="29">
      <c r="A29" s="8">
        <v>45557.93031763889</v>
      </c>
      <c r="B29" s="9" t="s">
        <v>19</v>
      </c>
      <c r="C29" s="9" t="s">
        <v>34</v>
      </c>
      <c r="D29" s="9" t="s">
        <v>21</v>
      </c>
      <c r="E29" s="9" t="s">
        <v>22</v>
      </c>
      <c r="F29" s="9" t="s">
        <v>23</v>
      </c>
      <c r="G29" s="9" t="s">
        <v>66</v>
      </c>
      <c r="H29" s="9" t="s">
        <v>25</v>
      </c>
      <c r="I29" s="9" t="s">
        <v>32</v>
      </c>
      <c r="J29" s="9">
        <v>5.0</v>
      </c>
      <c r="K29" s="9">
        <v>5.0</v>
      </c>
      <c r="L29" s="9">
        <v>5.0</v>
      </c>
      <c r="M29" s="9">
        <v>5.0</v>
      </c>
      <c r="N29" s="9">
        <v>5.0</v>
      </c>
      <c r="O29" s="9">
        <v>5.0</v>
      </c>
      <c r="P29" s="9">
        <v>5.0</v>
      </c>
      <c r="Q29" s="9">
        <v>5.0</v>
      </c>
      <c r="R29" s="9" t="s">
        <v>27</v>
      </c>
      <c r="S29" s="10" t="s">
        <v>33</v>
      </c>
    </row>
    <row r="30">
      <c r="A30" s="11">
        <v>45557.931158680556</v>
      </c>
      <c r="B30" s="12" t="s">
        <v>29</v>
      </c>
      <c r="C30" s="12" t="s">
        <v>20</v>
      </c>
      <c r="D30" s="12" t="s">
        <v>67</v>
      </c>
      <c r="E30" s="12" t="s">
        <v>22</v>
      </c>
      <c r="F30" s="12" t="s">
        <v>40</v>
      </c>
      <c r="G30" s="12" t="s">
        <v>51</v>
      </c>
      <c r="H30" s="12" t="s">
        <v>25</v>
      </c>
      <c r="I30" s="12" t="s">
        <v>32</v>
      </c>
      <c r="J30" s="12">
        <v>4.0</v>
      </c>
      <c r="K30" s="12">
        <v>4.0</v>
      </c>
      <c r="L30" s="12">
        <v>3.0</v>
      </c>
      <c r="M30" s="12">
        <v>4.0</v>
      </c>
      <c r="N30" s="12">
        <v>4.0</v>
      </c>
      <c r="O30" s="12">
        <v>5.0</v>
      </c>
      <c r="P30" s="12">
        <v>3.0</v>
      </c>
      <c r="Q30" s="12">
        <v>4.0</v>
      </c>
      <c r="R30" s="12" t="s">
        <v>27</v>
      </c>
      <c r="S30" s="13" t="s">
        <v>33</v>
      </c>
    </row>
    <row r="31">
      <c r="A31" s="8">
        <v>45557.93257528935</v>
      </c>
      <c r="B31" s="9" t="s">
        <v>29</v>
      </c>
      <c r="C31" s="9" t="s">
        <v>20</v>
      </c>
      <c r="D31" s="9" t="s">
        <v>35</v>
      </c>
      <c r="E31" s="9" t="s">
        <v>22</v>
      </c>
      <c r="F31" s="9" t="s">
        <v>40</v>
      </c>
      <c r="G31" s="9" t="s">
        <v>51</v>
      </c>
      <c r="H31" s="9" t="s">
        <v>25</v>
      </c>
      <c r="I31" s="9" t="s">
        <v>32</v>
      </c>
      <c r="J31" s="9">
        <v>4.0</v>
      </c>
      <c r="K31" s="9">
        <v>5.0</v>
      </c>
      <c r="L31" s="9">
        <v>4.0</v>
      </c>
      <c r="M31" s="9">
        <v>5.0</v>
      </c>
      <c r="N31" s="9">
        <v>5.0</v>
      </c>
      <c r="O31" s="9">
        <v>5.0</v>
      </c>
      <c r="P31" s="9">
        <v>2.0</v>
      </c>
      <c r="Q31" s="9">
        <v>3.0</v>
      </c>
      <c r="R31" s="9" t="s">
        <v>27</v>
      </c>
      <c r="S31" s="10" t="s">
        <v>42</v>
      </c>
    </row>
    <row r="32">
      <c r="A32" s="11">
        <v>45557.933472060184</v>
      </c>
      <c r="B32" s="12" t="s">
        <v>29</v>
      </c>
      <c r="C32" s="12" t="s">
        <v>20</v>
      </c>
      <c r="D32" s="12" t="s">
        <v>68</v>
      </c>
      <c r="E32" s="12" t="s">
        <v>22</v>
      </c>
      <c r="F32" s="12" t="s">
        <v>40</v>
      </c>
      <c r="G32" s="12" t="s">
        <v>51</v>
      </c>
      <c r="H32" s="12" t="s">
        <v>58</v>
      </c>
      <c r="I32" s="12" t="s">
        <v>32</v>
      </c>
      <c r="J32" s="12">
        <v>5.0</v>
      </c>
      <c r="K32" s="12">
        <v>5.0</v>
      </c>
      <c r="L32" s="12">
        <v>5.0</v>
      </c>
      <c r="M32" s="12">
        <v>5.0</v>
      </c>
      <c r="N32" s="12">
        <v>5.0</v>
      </c>
      <c r="O32" s="12">
        <v>5.0</v>
      </c>
      <c r="P32" s="12">
        <v>3.0</v>
      </c>
      <c r="Q32" s="12">
        <v>5.0</v>
      </c>
      <c r="R32" s="12" t="s">
        <v>27</v>
      </c>
      <c r="S32" s="13" t="s">
        <v>33</v>
      </c>
    </row>
    <row r="33">
      <c r="A33" s="8">
        <v>45557.934382754625</v>
      </c>
      <c r="E33" s="9" t="s">
        <v>69</v>
      </c>
    </row>
    <row r="34">
      <c r="A34" s="11">
        <v>45557.93464928241</v>
      </c>
      <c r="B34" s="12" t="s">
        <v>29</v>
      </c>
      <c r="C34" s="12" t="s">
        <v>34</v>
      </c>
      <c r="D34" s="12" t="s">
        <v>70</v>
      </c>
      <c r="E34" s="12" t="s">
        <v>22</v>
      </c>
      <c r="F34" s="12" t="s">
        <v>40</v>
      </c>
      <c r="G34" s="12" t="s">
        <v>24</v>
      </c>
      <c r="H34" s="12" t="s">
        <v>25</v>
      </c>
      <c r="I34" s="12" t="s">
        <v>32</v>
      </c>
      <c r="J34" s="12">
        <v>4.0</v>
      </c>
      <c r="K34" s="12">
        <v>4.0</v>
      </c>
      <c r="L34" s="12">
        <v>5.0</v>
      </c>
      <c r="M34" s="12">
        <v>5.0</v>
      </c>
      <c r="N34" s="12">
        <v>4.0</v>
      </c>
      <c r="O34" s="12">
        <v>5.0</v>
      </c>
      <c r="P34" s="12">
        <v>3.0</v>
      </c>
      <c r="Q34" s="12">
        <v>5.0</v>
      </c>
      <c r="R34" s="12" t="s">
        <v>27</v>
      </c>
      <c r="S34" s="13" t="s">
        <v>42</v>
      </c>
    </row>
    <row r="35">
      <c r="A35" s="8">
        <v>45557.935265567125</v>
      </c>
      <c r="B35" s="9" t="s">
        <v>19</v>
      </c>
      <c r="C35" s="9" t="s">
        <v>34</v>
      </c>
      <c r="D35" s="9" t="s">
        <v>21</v>
      </c>
      <c r="E35" s="9" t="s">
        <v>22</v>
      </c>
      <c r="F35" s="9" t="s">
        <v>40</v>
      </c>
      <c r="G35" s="9" t="s">
        <v>41</v>
      </c>
      <c r="H35" s="9" t="s">
        <v>25</v>
      </c>
      <c r="I35" s="9" t="s">
        <v>26</v>
      </c>
      <c r="J35" s="9">
        <v>4.0</v>
      </c>
      <c r="K35" s="9">
        <v>5.0</v>
      </c>
      <c r="L35" s="9">
        <v>5.0</v>
      </c>
      <c r="M35" s="9">
        <v>3.0</v>
      </c>
      <c r="N35" s="9">
        <v>5.0</v>
      </c>
      <c r="O35" s="9">
        <v>2.0</v>
      </c>
      <c r="P35" s="9">
        <v>2.0</v>
      </c>
      <c r="Q35" s="9">
        <v>4.0</v>
      </c>
      <c r="R35" s="9" t="s">
        <v>27</v>
      </c>
      <c r="S35" s="10" t="s">
        <v>71</v>
      </c>
    </row>
    <row r="36">
      <c r="A36" s="11">
        <v>45557.93559655093</v>
      </c>
      <c r="B36" s="12" t="s">
        <v>29</v>
      </c>
      <c r="C36" s="12" t="s">
        <v>20</v>
      </c>
      <c r="D36" s="12" t="s">
        <v>59</v>
      </c>
      <c r="E36" s="12" t="s">
        <v>22</v>
      </c>
      <c r="F36" s="12" t="s">
        <v>40</v>
      </c>
      <c r="G36" s="12" t="s">
        <v>51</v>
      </c>
      <c r="H36" s="12" t="s">
        <v>25</v>
      </c>
      <c r="I36" s="12" t="s">
        <v>32</v>
      </c>
      <c r="J36" s="12">
        <v>3.0</v>
      </c>
      <c r="K36" s="12">
        <v>5.0</v>
      </c>
      <c r="L36" s="12">
        <v>3.0</v>
      </c>
      <c r="M36" s="12">
        <v>4.0</v>
      </c>
      <c r="N36" s="12">
        <v>5.0</v>
      </c>
      <c r="O36" s="12">
        <v>3.0</v>
      </c>
      <c r="P36" s="12">
        <v>1.0</v>
      </c>
      <c r="Q36" s="12">
        <v>4.0</v>
      </c>
      <c r="R36" s="12" t="s">
        <v>27</v>
      </c>
      <c r="S36" s="13" t="s">
        <v>46</v>
      </c>
    </row>
    <row r="37">
      <c r="A37" s="8">
        <v>45557.93790928241</v>
      </c>
      <c r="B37" s="9" t="s">
        <v>29</v>
      </c>
      <c r="C37" s="9" t="s">
        <v>20</v>
      </c>
      <c r="D37" s="9" t="s">
        <v>72</v>
      </c>
      <c r="E37" s="9" t="s">
        <v>22</v>
      </c>
      <c r="F37" s="9" t="s">
        <v>40</v>
      </c>
      <c r="G37" s="9" t="s">
        <v>36</v>
      </c>
      <c r="H37" s="9" t="s">
        <v>25</v>
      </c>
      <c r="I37" s="9" t="s">
        <v>26</v>
      </c>
      <c r="J37" s="9">
        <v>5.0</v>
      </c>
      <c r="K37" s="9">
        <v>5.0</v>
      </c>
      <c r="L37" s="9">
        <v>4.0</v>
      </c>
      <c r="M37" s="9">
        <v>5.0</v>
      </c>
      <c r="N37" s="9">
        <v>4.0</v>
      </c>
      <c r="O37" s="9">
        <v>5.0</v>
      </c>
      <c r="P37" s="9">
        <v>4.0</v>
      </c>
      <c r="Q37" s="9">
        <v>4.0</v>
      </c>
      <c r="R37" s="9" t="s">
        <v>27</v>
      </c>
      <c r="S37" s="10" t="s">
        <v>33</v>
      </c>
    </row>
    <row r="38">
      <c r="A38" s="11">
        <v>45557.93886084491</v>
      </c>
      <c r="B38" s="12" t="s">
        <v>29</v>
      </c>
      <c r="C38" s="12" t="s">
        <v>34</v>
      </c>
      <c r="D38" s="12" t="s">
        <v>35</v>
      </c>
      <c r="E38" s="12" t="s">
        <v>22</v>
      </c>
      <c r="F38" s="12" t="s">
        <v>40</v>
      </c>
      <c r="G38" s="12" t="s">
        <v>36</v>
      </c>
      <c r="H38" s="12" t="s">
        <v>58</v>
      </c>
      <c r="I38" s="12" t="s">
        <v>32</v>
      </c>
      <c r="J38" s="12">
        <v>4.0</v>
      </c>
      <c r="K38" s="12">
        <v>4.0</v>
      </c>
      <c r="L38" s="12">
        <v>4.0</v>
      </c>
      <c r="M38" s="12">
        <v>4.0</v>
      </c>
      <c r="N38" s="12">
        <v>4.0</v>
      </c>
      <c r="O38" s="12">
        <v>4.0</v>
      </c>
      <c r="P38" s="12">
        <v>1.0</v>
      </c>
      <c r="Q38" s="12">
        <v>4.0</v>
      </c>
      <c r="R38" s="12" t="s">
        <v>27</v>
      </c>
      <c r="S38" s="13" t="s">
        <v>38</v>
      </c>
    </row>
    <row r="39">
      <c r="A39" s="8">
        <v>45557.93938928241</v>
      </c>
      <c r="B39" s="9" t="s">
        <v>29</v>
      </c>
      <c r="C39" s="9" t="s">
        <v>20</v>
      </c>
      <c r="D39" s="9" t="s">
        <v>73</v>
      </c>
      <c r="E39" s="9" t="s">
        <v>22</v>
      </c>
      <c r="F39" s="9" t="s">
        <v>40</v>
      </c>
      <c r="G39" s="9" t="s">
        <v>36</v>
      </c>
      <c r="H39" s="9" t="s">
        <v>25</v>
      </c>
      <c r="I39" s="9" t="s">
        <v>26</v>
      </c>
      <c r="J39" s="9">
        <v>4.0</v>
      </c>
      <c r="K39" s="9">
        <v>3.0</v>
      </c>
      <c r="L39" s="9">
        <v>4.0</v>
      </c>
      <c r="M39" s="9">
        <v>5.0</v>
      </c>
      <c r="N39" s="9">
        <v>4.0</v>
      </c>
      <c r="O39" s="9">
        <v>4.0</v>
      </c>
      <c r="P39" s="9">
        <v>3.0</v>
      </c>
      <c r="Q39" s="9">
        <v>4.0</v>
      </c>
      <c r="R39" s="9" t="s">
        <v>27</v>
      </c>
      <c r="S39" s="10" t="s">
        <v>71</v>
      </c>
    </row>
    <row r="40">
      <c r="A40" s="11">
        <v>45557.93951703704</v>
      </c>
      <c r="B40" s="12" t="s">
        <v>29</v>
      </c>
      <c r="C40" s="12" t="s">
        <v>20</v>
      </c>
      <c r="D40" s="12" t="s">
        <v>74</v>
      </c>
      <c r="E40" s="12" t="s">
        <v>22</v>
      </c>
      <c r="F40" s="12" t="s">
        <v>53</v>
      </c>
      <c r="G40" s="12" t="s">
        <v>36</v>
      </c>
      <c r="H40" s="12" t="s">
        <v>25</v>
      </c>
      <c r="I40" s="12" t="s">
        <v>26</v>
      </c>
      <c r="J40" s="12">
        <v>5.0</v>
      </c>
      <c r="K40" s="12">
        <v>5.0</v>
      </c>
      <c r="L40" s="12">
        <v>5.0</v>
      </c>
      <c r="M40" s="12">
        <v>5.0</v>
      </c>
      <c r="O40" s="12">
        <v>5.0</v>
      </c>
      <c r="P40" s="12">
        <v>5.0</v>
      </c>
      <c r="Q40" s="12">
        <v>5.0</v>
      </c>
      <c r="R40" s="12" t="s">
        <v>48</v>
      </c>
      <c r="S40" s="13" t="s">
        <v>75</v>
      </c>
    </row>
    <row r="41">
      <c r="A41" s="8">
        <v>45557.93968628472</v>
      </c>
      <c r="B41" s="9" t="s">
        <v>19</v>
      </c>
      <c r="C41" s="9" t="s">
        <v>20</v>
      </c>
      <c r="D41" s="9" t="s">
        <v>35</v>
      </c>
      <c r="E41" s="9" t="s">
        <v>22</v>
      </c>
      <c r="F41" s="9" t="s">
        <v>40</v>
      </c>
      <c r="G41" s="9" t="s">
        <v>24</v>
      </c>
      <c r="H41" s="9" t="s">
        <v>25</v>
      </c>
      <c r="I41" s="9" t="s">
        <v>26</v>
      </c>
      <c r="J41" s="9">
        <v>4.0</v>
      </c>
      <c r="K41" s="9">
        <v>3.0</v>
      </c>
      <c r="L41" s="9">
        <v>3.0</v>
      </c>
      <c r="M41" s="9">
        <v>5.0</v>
      </c>
      <c r="N41" s="9">
        <v>1.0</v>
      </c>
      <c r="O41" s="9">
        <v>1.0</v>
      </c>
      <c r="P41" s="9">
        <v>4.0</v>
      </c>
      <c r="Q41" s="9">
        <v>3.0</v>
      </c>
      <c r="R41" s="9" t="s">
        <v>48</v>
      </c>
      <c r="S41" s="10" t="s">
        <v>46</v>
      </c>
    </row>
    <row r="42">
      <c r="A42" s="11">
        <v>45557.93996667824</v>
      </c>
      <c r="B42" s="12" t="s">
        <v>29</v>
      </c>
      <c r="C42" s="12" t="s">
        <v>34</v>
      </c>
      <c r="D42" s="12" t="s">
        <v>35</v>
      </c>
      <c r="E42" s="12" t="s">
        <v>22</v>
      </c>
      <c r="F42" s="12" t="s">
        <v>23</v>
      </c>
      <c r="G42" s="12" t="s">
        <v>76</v>
      </c>
      <c r="H42" s="12" t="s">
        <v>25</v>
      </c>
      <c r="I42" s="12" t="s">
        <v>26</v>
      </c>
      <c r="J42" s="12">
        <v>4.0</v>
      </c>
      <c r="K42" s="12">
        <v>3.0</v>
      </c>
      <c r="L42" s="12">
        <v>4.0</v>
      </c>
      <c r="M42" s="12">
        <v>4.0</v>
      </c>
      <c r="N42" s="12">
        <v>3.0</v>
      </c>
      <c r="O42" s="12">
        <v>1.0</v>
      </c>
      <c r="P42" s="12">
        <v>4.0</v>
      </c>
      <c r="Q42" s="12">
        <v>4.0</v>
      </c>
      <c r="R42" s="12" t="s">
        <v>48</v>
      </c>
      <c r="S42" s="13" t="s">
        <v>75</v>
      </c>
    </row>
    <row r="43">
      <c r="A43" s="8">
        <v>45557.940170752314</v>
      </c>
      <c r="B43" s="9" t="s">
        <v>29</v>
      </c>
      <c r="C43" s="9" t="s">
        <v>34</v>
      </c>
      <c r="D43" s="9" t="s">
        <v>77</v>
      </c>
      <c r="E43" s="9" t="s">
        <v>22</v>
      </c>
      <c r="F43" s="9" t="s">
        <v>53</v>
      </c>
      <c r="G43" s="9" t="s">
        <v>41</v>
      </c>
      <c r="H43" s="9" t="s">
        <v>78</v>
      </c>
      <c r="I43" s="9" t="s">
        <v>32</v>
      </c>
      <c r="J43" s="9">
        <v>2.0</v>
      </c>
      <c r="K43" s="9">
        <v>4.0</v>
      </c>
      <c r="L43" s="9">
        <v>2.0</v>
      </c>
      <c r="M43" s="9">
        <v>4.0</v>
      </c>
      <c r="N43" s="9">
        <v>3.0</v>
      </c>
      <c r="O43" s="9">
        <v>2.0</v>
      </c>
      <c r="P43" s="9">
        <v>1.0</v>
      </c>
      <c r="Q43" s="9">
        <v>1.0</v>
      </c>
      <c r="R43" s="9" t="s">
        <v>48</v>
      </c>
      <c r="S43" s="10" t="s">
        <v>42</v>
      </c>
    </row>
    <row r="44">
      <c r="A44" s="11">
        <v>45557.94017810185</v>
      </c>
      <c r="B44" s="12" t="s">
        <v>79</v>
      </c>
      <c r="C44" s="12" t="s">
        <v>34</v>
      </c>
      <c r="D44" s="12" t="s">
        <v>80</v>
      </c>
      <c r="E44" s="12" t="s">
        <v>69</v>
      </c>
      <c r="F44" s="12" t="s">
        <v>81</v>
      </c>
      <c r="G44" s="12" t="s">
        <v>66</v>
      </c>
      <c r="H44" s="12" t="s">
        <v>25</v>
      </c>
      <c r="I44" s="12" t="s">
        <v>32</v>
      </c>
      <c r="J44" s="12">
        <v>5.0</v>
      </c>
      <c r="K44" s="12">
        <v>5.0</v>
      </c>
      <c r="L44" s="12">
        <v>5.0</v>
      </c>
      <c r="M44" s="12">
        <v>5.0</v>
      </c>
      <c r="N44" s="12">
        <v>5.0</v>
      </c>
      <c r="O44" s="12">
        <v>5.0</v>
      </c>
      <c r="P44" s="12">
        <v>5.0</v>
      </c>
      <c r="Q44" s="12">
        <v>5.0</v>
      </c>
      <c r="R44" s="12" t="s">
        <v>82</v>
      </c>
      <c r="S44" s="13" t="s">
        <v>71</v>
      </c>
    </row>
    <row r="45">
      <c r="A45" s="8">
        <v>45557.94037273148</v>
      </c>
      <c r="B45" s="9" t="s">
        <v>29</v>
      </c>
      <c r="C45" s="9" t="s">
        <v>20</v>
      </c>
      <c r="D45" s="9" t="s">
        <v>35</v>
      </c>
      <c r="E45" s="9" t="s">
        <v>22</v>
      </c>
      <c r="F45" s="9" t="s">
        <v>40</v>
      </c>
      <c r="G45" s="9" t="s">
        <v>51</v>
      </c>
      <c r="H45" s="9" t="s">
        <v>83</v>
      </c>
      <c r="I45" s="9" t="s">
        <v>32</v>
      </c>
      <c r="J45" s="9">
        <v>4.0</v>
      </c>
      <c r="K45" s="9">
        <v>5.0</v>
      </c>
      <c r="L45" s="9">
        <v>3.0</v>
      </c>
      <c r="M45" s="9">
        <v>4.0</v>
      </c>
      <c r="N45" s="9">
        <v>5.0</v>
      </c>
      <c r="O45" s="9">
        <v>3.0</v>
      </c>
      <c r="P45" s="9">
        <v>5.0</v>
      </c>
      <c r="Q45" s="9">
        <v>4.0</v>
      </c>
      <c r="R45" s="9" t="s">
        <v>27</v>
      </c>
      <c r="S45" s="10" t="s">
        <v>33</v>
      </c>
    </row>
    <row r="46">
      <c r="A46" s="11">
        <v>45557.94050601852</v>
      </c>
      <c r="B46" s="12" t="s">
        <v>29</v>
      </c>
      <c r="C46" s="12" t="s">
        <v>34</v>
      </c>
      <c r="D46" s="12" t="s">
        <v>59</v>
      </c>
      <c r="E46" s="12" t="s">
        <v>22</v>
      </c>
      <c r="F46" s="12" t="s">
        <v>40</v>
      </c>
      <c r="G46" s="12" t="s">
        <v>24</v>
      </c>
      <c r="H46" s="12" t="s">
        <v>25</v>
      </c>
      <c r="I46" s="12" t="s">
        <v>32</v>
      </c>
      <c r="J46" s="12">
        <v>4.0</v>
      </c>
      <c r="K46" s="12">
        <v>3.0</v>
      </c>
      <c r="L46" s="12">
        <v>2.0</v>
      </c>
      <c r="M46" s="12">
        <v>4.0</v>
      </c>
      <c r="N46" s="12">
        <v>5.0</v>
      </c>
      <c r="O46" s="12">
        <v>1.0</v>
      </c>
      <c r="P46" s="12">
        <v>5.0</v>
      </c>
      <c r="Q46" s="12">
        <v>5.0</v>
      </c>
      <c r="R46" s="12" t="s">
        <v>27</v>
      </c>
      <c r="S46" s="13" t="s">
        <v>46</v>
      </c>
    </row>
    <row r="47">
      <c r="A47" s="8">
        <v>45557.940678287036</v>
      </c>
      <c r="B47" s="9" t="s">
        <v>29</v>
      </c>
      <c r="C47" s="9" t="s">
        <v>20</v>
      </c>
      <c r="D47" s="9" t="s">
        <v>35</v>
      </c>
      <c r="E47" s="9" t="s">
        <v>22</v>
      </c>
      <c r="F47" s="9" t="s">
        <v>23</v>
      </c>
      <c r="G47" s="9" t="s">
        <v>36</v>
      </c>
      <c r="H47" s="9" t="s">
        <v>83</v>
      </c>
      <c r="I47" s="9" t="s">
        <v>26</v>
      </c>
      <c r="J47" s="9">
        <v>4.0</v>
      </c>
      <c r="K47" s="9">
        <v>4.0</v>
      </c>
      <c r="L47" s="9">
        <v>3.0</v>
      </c>
      <c r="M47" s="9">
        <v>4.0</v>
      </c>
      <c r="N47" s="9">
        <v>4.0</v>
      </c>
      <c r="O47" s="9">
        <v>3.0</v>
      </c>
      <c r="P47" s="9">
        <v>4.0</v>
      </c>
      <c r="Q47" s="9">
        <v>4.0</v>
      </c>
      <c r="R47" s="9" t="s">
        <v>27</v>
      </c>
      <c r="S47" s="10" t="s">
        <v>71</v>
      </c>
    </row>
    <row r="48">
      <c r="A48" s="11">
        <v>45557.94150094908</v>
      </c>
      <c r="B48" s="12" t="s">
        <v>29</v>
      </c>
      <c r="C48" s="12" t="s">
        <v>20</v>
      </c>
      <c r="D48" s="12" t="s">
        <v>35</v>
      </c>
      <c r="E48" s="12" t="s">
        <v>22</v>
      </c>
      <c r="F48" s="12" t="s">
        <v>23</v>
      </c>
      <c r="G48" s="12" t="s">
        <v>41</v>
      </c>
      <c r="H48" s="12" t="s">
        <v>84</v>
      </c>
      <c r="I48" s="12" t="s">
        <v>26</v>
      </c>
      <c r="J48" s="12">
        <v>5.0</v>
      </c>
      <c r="K48" s="12">
        <v>4.0</v>
      </c>
      <c r="L48" s="12">
        <v>5.0</v>
      </c>
      <c r="M48" s="12">
        <v>5.0</v>
      </c>
      <c r="N48" s="12">
        <v>5.0</v>
      </c>
      <c r="O48" s="12">
        <v>3.0</v>
      </c>
      <c r="P48" s="12">
        <v>3.0</v>
      </c>
      <c r="Q48" s="12">
        <v>3.0</v>
      </c>
      <c r="R48" s="12" t="s">
        <v>48</v>
      </c>
      <c r="S48" s="13" t="s">
        <v>33</v>
      </c>
    </row>
    <row r="49">
      <c r="A49" s="8">
        <v>45557.94169032408</v>
      </c>
      <c r="B49" s="9" t="s">
        <v>29</v>
      </c>
      <c r="C49" s="9" t="s">
        <v>20</v>
      </c>
      <c r="D49" s="9" t="s">
        <v>35</v>
      </c>
      <c r="E49" s="9" t="s">
        <v>22</v>
      </c>
      <c r="F49" s="9" t="s">
        <v>40</v>
      </c>
      <c r="G49" s="9" t="s">
        <v>36</v>
      </c>
      <c r="H49" s="9" t="s">
        <v>25</v>
      </c>
      <c r="I49" s="9" t="s">
        <v>26</v>
      </c>
      <c r="J49" s="9">
        <v>4.0</v>
      </c>
      <c r="K49" s="9">
        <v>4.0</v>
      </c>
      <c r="L49" s="9">
        <v>3.0</v>
      </c>
      <c r="M49" s="9">
        <v>5.0</v>
      </c>
      <c r="N49" s="9">
        <v>4.0</v>
      </c>
      <c r="O49" s="9">
        <v>4.0</v>
      </c>
      <c r="P49" s="9">
        <v>2.0</v>
      </c>
      <c r="Q49" s="9">
        <v>3.0</v>
      </c>
      <c r="R49" s="9" t="s">
        <v>27</v>
      </c>
      <c r="S49" s="10" t="s">
        <v>46</v>
      </c>
    </row>
    <row r="50">
      <c r="A50" s="11">
        <v>45557.942011736115</v>
      </c>
      <c r="B50" s="12" t="s">
        <v>29</v>
      </c>
      <c r="C50" s="12" t="s">
        <v>20</v>
      </c>
      <c r="D50" s="12" t="s">
        <v>85</v>
      </c>
      <c r="E50" s="12" t="s">
        <v>69</v>
      </c>
      <c r="F50" s="12" t="s">
        <v>81</v>
      </c>
      <c r="G50" s="12" t="s">
        <v>66</v>
      </c>
      <c r="H50" s="12" t="s">
        <v>37</v>
      </c>
      <c r="I50" s="12" t="s">
        <v>32</v>
      </c>
      <c r="J50" s="12">
        <v>1.0</v>
      </c>
      <c r="K50" s="12">
        <v>2.0</v>
      </c>
      <c r="L50" s="12">
        <v>1.0</v>
      </c>
      <c r="M50" s="12">
        <v>4.0</v>
      </c>
      <c r="N50" s="12">
        <v>4.0</v>
      </c>
      <c r="O50" s="12">
        <v>2.0</v>
      </c>
      <c r="P50" s="12">
        <v>3.0</v>
      </c>
      <c r="Q50" s="12">
        <v>1.0</v>
      </c>
      <c r="R50" s="12" t="s">
        <v>82</v>
      </c>
      <c r="S50" s="13" t="s">
        <v>75</v>
      </c>
    </row>
    <row r="51">
      <c r="A51" s="8">
        <v>45557.94228412037</v>
      </c>
      <c r="B51" s="9" t="s">
        <v>29</v>
      </c>
      <c r="C51" s="9" t="s">
        <v>34</v>
      </c>
      <c r="D51" s="9" t="s">
        <v>30</v>
      </c>
      <c r="E51" s="9" t="s">
        <v>22</v>
      </c>
      <c r="F51" s="9" t="s">
        <v>40</v>
      </c>
      <c r="G51" s="9" t="s">
        <v>51</v>
      </c>
      <c r="H51" s="9" t="s">
        <v>37</v>
      </c>
      <c r="I51" s="9" t="s">
        <v>26</v>
      </c>
      <c r="J51" s="9">
        <v>4.0</v>
      </c>
      <c r="K51" s="9">
        <v>3.0</v>
      </c>
      <c r="L51" s="9">
        <v>2.0</v>
      </c>
      <c r="M51" s="9">
        <v>5.0</v>
      </c>
      <c r="N51" s="9">
        <v>3.0</v>
      </c>
      <c r="O51" s="9">
        <v>3.0</v>
      </c>
      <c r="P51" s="9">
        <v>2.0</v>
      </c>
      <c r="Q51" s="9">
        <v>4.0</v>
      </c>
      <c r="R51" s="9" t="s">
        <v>27</v>
      </c>
      <c r="S51" s="10" t="s">
        <v>33</v>
      </c>
    </row>
    <row r="52">
      <c r="A52" s="11">
        <v>45557.94299784722</v>
      </c>
      <c r="B52" s="12" t="s">
        <v>79</v>
      </c>
      <c r="C52" s="12" t="s">
        <v>34</v>
      </c>
      <c r="D52" s="12" t="s">
        <v>86</v>
      </c>
      <c r="E52" s="12" t="s">
        <v>69</v>
      </c>
      <c r="F52" s="12" t="s">
        <v>81</v>
      </c>
      <c r="G52" s="12" t="s">
        <v>41</v>
      </c>
      <c r="H52" s="12" t="s">
        <v>60</v>
      </c>
      <c r="I52" s="12" t="s">
        <v>87</v>
      </c>
      <c r="J52" s="12">
        <v>3.0</v>
      </c>
      <c r="K52" s="12">
        <v>3.0</v>
      </c>
      <c r="L52" s="12">
        <v>3.0</v>
      </c>
      <c r="M52" s="12">
        <v>3.0</v>
      </c>
      <c r="N52" s="12">
        <v>2.0</v>
      </c>
      <c r="O52" s="12">
        <v>3.0</v>
      </c>
      <c r="P52" s="12">
        <v>3.0</v>
      </c>
      <c r="Q52" s="12">
        <v>3.0</v>
      </c>
      <c r="R52" s="12" t="s">
        <v>82</v>
      </c>
      <c r="S52" s="13" t="s">
        <v>71</v>
      </c>
    </row>
    <row r="53">
      <c r="A53" s="8">
        <v>45557.94357753472</v>
      </c>
      <c r="B53" s="9" t="s">
        <v>19</v>
      </c>
      <c r="C53" s="9" t="s">
        <v>34</v>
      </c>
      <c r="D53" s="9" t="s">
        <v>88</v>
      </c>
      <c r="E53" s="9" t="s">
        <v>22</v>
      </c>
      <c r="F53" s="9" t="s">
        <v>40</v>
      </c>
      <c r="G53" s="9" t="s">
        <v>41</v>
      </c>
      <c r="H53" s="9" t="s">
        <v>25</v>
      </c>
      <c r="I53" s="9" t="s">
        <v>26</v>
      </c>
      <c r="J53" s="9">
        <v>5.0</v>
      </c>
      <c r="K53" s="9">
        <v>4.0</v>
      </c>
      <c r="L53" s="9">
        <v>4.0</v>
      </c>
      <c r="M53" s="9">
        <v>5.0</v>
      </c>
      <c r="N53" s="9">
        <v>3.0</v>
      </c>
      <c r="O53" s="9">
        <v>4.0</v>
      </c>
      <c r="P53" s="9">
        <v>5.0</v>
      </c>
      <c r="Q53" s="9">
        <v>5.0</v>
      </c>
      <c r="R53" s="9" t="s">
        <v>27</v>
      </c>
      <c r="S53" s="10" t="s">
        <v>33</v>
      </c>
    </row>
    <row r="54">
      <c r="A54" s="11">
        <v>45557.94370322917</v>
      </c>
      <c r="B54" s="12" t="s">
        <v>29</v>
      </c>
      <c r="C54" s="12" t="s">
        <v>34</v>
      </c>
      <c r="D54" s="12" t="s">
        <v>89</v>
      </c>
      <c r="E54" s="12" t="s">
        <v>22</v>
      </c>
      <c r="F54" s="12" t="s">
        <v>23</v>
      </c>
      <c r="G54" s="12" t="s">
        <v>41</v>
      </c>
      <c r="H54" s="12" t="s">
        <v>37</v>
      </c>
      <c r="I54" s="12" t="s">
        <v>32</v>
      </c>
      <c r="J54" s="12">
        <v>4.0</v>
      </c>
      <c r="K54" s="12">
        <v>3.0</v>
      </c>
      <c r="L54" s="12">
        <v>2.0</v>
      </c>
      <c r="M54" s="12">
        <v>2.0</v>
      </c>
      <c r="N54" s="12">
        <v>3.0</v>
      </c>
      <c r="O54" s="12">
        <v>2.0</v>
      </c>
      <c r="P54" s="12">
        <v>2.0</v>
      </c>
      <c r="Q54" s="12">
        <v>2.0</v>
      </c>
      <c r="R54" s="12" t="s">
        <v>27</v>
      </c>
      <c r="S54" s="13" t="s">
        <v>75</v>
      </c>
    </row>
    <row r="55">
      <c r="A55" s="8">
        <v>45557.94394699074</v>
      </c>
      <c r="B55" s="9" t="s">
        <v>19</v>
      </c>
      <c r="C55" s="9" t="s">
        <v>34</v>
      </c>
      <c r="D55" s="9" t="s">
        <v>90</v>
      </c>
      <c r="E55" s="9" t="s">
        <v>22</v>
      </c>
      <c r="F55" s="9" t="s">
        <v>23</v>
      </c>
      <c r="G55" s="9" t="s">
        <v>41</v>
      </c>
      <c r="H55" s="9" t="s">
        <v>25</v>
      </c>
      <c r="I55" s="9" t="s">
        <v>32</v>
      </c>
      <c r="J55" s="9">
        <v>5.0</v>
      </c>
      <c r="K55" s="9">
        <v>4.0</v>
      </c>
      <c r="L55" s="9">
        <v>3.0</v>
      </c>
      <c r="M55" s="9">
        <v>5.0</v>
      </c>
      <c r="N55" s="9">
        <v>4.0</v>
      </c>
      <c r="O55" s="9">
        <v>3.0</v>
      </c>
      <c r="P55" s="9">
        <v>2.0</v>
      </c>
      <c r="Q55" s="9">
        <v>4.0</v>
      </c>
      <c r="R55" s="9" t="s">
        <v>27</v>
      </c>
      <c r="S55" s="10" t="s">
        <v>71</v>
      </c>
    </row>
    <row r="56">
      <c r="A56" s="11">
        <v>45557.94399148149</v>
      </c>
      <c r="B56" s="12" t="s">
        <v>29</v>
      </c>
      <c r="C56" s="12" t="s">
        <v>20</v>
      </c>
      <c r="D56" s="12" t="s">
        <v>35</v>
      </c>
      <c r="E56" s="12" t="s">
        <v>22</v>
      </c>
      <c r="F56" s="12" t="s">
        <v>53</v>
      </c>
      <c r="G56" s="12" t="s">
        <v>24</v>
      </c>
      <c r="H56" s="12" t="s">
        <v>25</v>
      </c>
      <c r="I56" s="12" t="s">
        <v>26</v>
      </c>
      <c r="J56" s="12">
        <v>4.0</v>
      </c>
      <c r="K56" s="12">
        <v>4.0</v>
      </c>
      <c r="L56" s="12">
        <v>2.0</v>
      </c>
      <c r="M56" s="12">
        <v>4.0</v>
      </c>
      <c r="N56" s="12">
        <v>4.0</v>
      </c>
      <c r="O56" s="12">
        <v>1.0</v>
      </c>
      <c r="P56" s="12">
        <v>1.0</v>
      </c>
      <c r="Q56" s="12">
        <v>3.0</v>
      </c>
      <c r="R56" s="12" t="s">
        <v>27</v>
      </c>
      <c r="S56" s="13" t="s">
        <v>42</v>
      </c>
    </row>
    <row r="57">
      <c r="A57" s="8">
        <v>45557.94434136574</v>
      </c>
      <c r="B57" s="9" t="s">
        <v>91</v>
      </c>
      <c r="C57" s="9" t="s">
        <v>34</v>
      </c>
      <c r="D57" s="9" t="s">
        <v>92</v>
      </c>
      <c r="E57" s="9" t="s">
        <v>69</v>
      </c>
      <c r="F57" s="9" t="s">
        <v>81</v>
      </c>
      <c r="G57" s="9" t="s">
        <v>24</v>
      </c>
      <c r="H57" s="9" t="s">
        <v>60</v>
      </c>
      <c r="I57" s="9" t="s">
        <v>87</v>
      </c>
      <c r="J57" s="9">
        <v>1.0</v>
      </c>
      <c r="K57" s="9">
        <v>1.0</v>
      </c>
      <c r="L57" s="9">
        <v>1.0</v>
      </c>
      <c r="M57" s="9">
        <v>1.0</v>
      </c>
      <c r="N57" s="9">
        <v>1.0</v>
      </c>
      <c r="O57" s="9">
        <v>1.0</v>
      </c>
      <c r="P57" s="9">
        <v>1.0</v>
      </c>
      <c r="Q57" s="9">
        <v>1.0</v>
      </c>
      <c r="R57" s="9" t="s">
        <v>82</v>
      </c>
      <c r="S57" s="10" t="s">
        <v>71</v>
      </c>
    </row>
    <row r="58">
      <c r="A58" s="11">
        <v>45557.94452952546</v>
      </c>
      <c r="B58" s="12" t="s">
        <v>29</v>
      </c>
      <c r="C58" s="12" t="s">
        <v>34</v>
      </c>
      <c r="D58" s="12" t="s">
        <v>35</v>
      </c>
      <c r="E58" s="12" t="s">
        <v>22</v>
      </c>
      <c r="F58" s="12" t="s">
        <v>23</v>
      </c>
      <c r="G58" s="12" t="s">
        <v>36</v>
      </c>
      <c r="H58" s="12" t="s">
        <v>25</v>
      </c>
      <c r="I58" s="12" t="s">
        <v>32</v>
      </c>
      <c r="J58" s="12">
        <v>5.0</v>
      </c>
      <c r="K58" s="12">
        <v>4.0</v>
      </c>
      <c r="L58" s="12">
        <v>3.0</v>
      </c>
      <c r="M58" s="12">
        <v>5.0</v>
      </c>
      <c r="N58" s="12">
        <v>4.0</v>
      </c>
      <c r="O58" s="12">
        <v>4.0</v>
      </c>
      <c r="P58" s="12">
        <v>4.0</v>
      </c>
      <c r="Q58" s="12">
        <v>5.0</v>
      </c>
      <c r="R58" s="12" t="s">
        <v>27</v>
      </c>
      <c r="S58" s="13" t="s">
        <v>46</v>
      </c>
    </row>
    <row r="59">
      <c r="A59" s="8">
        <v>45557.94481648148</v>
      </c>
      <c r="B59" s="9" t="s">
        <v>29</v>
      </c>
      <c r="C59" s="9" t="s">
        <v>20</v>
      </c>
      <c r="D59" s="9" t="s">
        <v>59</v>
      </c>
      <c r="E59" s="9" t="s">
        <v>22</v>
      </c>
      <c r="F59" s="9" t="s">
        <v>23</v>
      </c>
      <c r="G59" s="9" t="s">
        <v>24</v>
      </c>
      <c r="H59" s="9" t="s">
        <v>25</v>
      </c>
      <c r="I59" s="9" t="s">
        <v>32</v>
      </c>
      <c r="J59" s="9">
        <v>5.0</v>
      </c>
      <c r="K59" s="9">
        <v>5.0</v>
      </c>
      <c r="L59" s="9">
        <v>5.0</v>
      </c>
      <c r="M59" s="9">
        <v>5.0</v>
      </c>
      <c r="N59" s="9">
        <v>5.0</v>
      </c>
      <c r="O59" s="9">
        <v>5.0</v>
      </c>
      <c r="P59" s="9">
        <v>5.0</v>
      </c>
      <c r="Q59" s="9">
        <v>5.0</v>
      </c>
      <c r="R59" s="9" t="s">
        <v>48</v>
      </c>
      <c r="S59" s="10" t="s">
        <v>46</v>
      </c>
    </row>
    <row r="60">
      <c r="A60" s="11">
        <v>45557.9450024074</v>
      </c>
      <c r="B60" s="12" t="s">
        <v>29</v>
      </c>
      <c r="C60" s="12" t="s">
        <v>20</v>
      </c>
      <c r="D60" s="12" t="s">
        <v>35</v>
      </c>
      <c r="E60" s="12" t="s">
        <v>22</v>
      </c>
      <c r="F60" s="12" t="s">
        <v>40</v>
      </c>
      <c r="G60" s="12" t="s">
        <v>93</v>
      </c>
      <c r="H60" s="12" t="s">
        <v>25</v>
      </c>
      <c r="I60" s="12" t="s">
        <v>26</v>
      </c>
      <c r="J60" s="12">
        <v>4.0</v>
      </c>
      <c r="K60" s="12">
        <v>4.0</v>
      </c>
      <c r="L60" s="12">
        <v>4.0</v>
      </c>
      <c r="M60" s="12">
        <v>3.0</v>
      </c>
      <c r="N60" s="12">
        <v>5.0</v>
      </c>
      <c r="O60" s="12">
        <v>4.0</v>
      </c>
      <c r="P60" s="12">
        <v>1.0</v>
      </c>
      <c r="Q60" s="12">
        <v>3.0</v>
      </c>
      <c r="R60" s="12" t="s">
        <v>27</v>
      </c>
      <c r="S60" s="13" t="s">
        <v>46</v>
      </c>
    </row>
    <row r="61">
      <c r="A61" s="8">
        <v>45557.94500270834</v>
      </c>
      <c r="B61" s="9" t="s">
        <v>29</v>
      </c>
      <c r="C61" s="9" t="s">
        <v>20</v>
      </c>
      <c r="D61" s="9" t="s">
        <v>94</v>
      </c>
      <c r="E61" s="9" t="s">
        <v>22</v>
      </c>
      <c r="F61" s="9" t="s">
        <v>40</v>
      </c>
      <c r="G61" s="9" t="s">
        <v>66</v>
      </c>
      <c r="H61" s="9" t="s">
        <v>83</v>
      </c>
      <c r="I61" s="9" t="s">
        <v>26</v>
      </c>
      <c r="J61" s="9">
        <v>5.0</v>
      </c>
      <c r="K61" s="9">
        <v>5.0</v>
      </c>
      <c r="L61" s="9">
        <v>3.0</v>
      </c>
      <c r="M61" s="9">
        <v>5.0</v>
      </c>
      <c r="N61" s="9">
        <v>4.0</v>
      </c>
      <c r="O61" s="9">
        <v>2.0</v>
      </c>
      <c r="P61" s="9">
        <v>1.0</v>
      </c>
      <c r="Q61" s="9">
        <v>3.0</v>
      </c>
      <c r="R61" s="9" t="s">
        <v>27</v>
      </c>
      <c r="S61" s="10" t="s">
        <v>46</v>
      </c>
    </row>
    <row r="62">
      <c r="A62" s="11">
        <v>45557.94585792824</v>
      </c>
      <c r="B62" s="12" t="s">
        <v>29</v>
      </c>
      <c r="C62" s="12" t="s">
        <v>20</v>
      </c>
      <c r="D62" s="12" t="s">
        <v>95</v>
      </c>
      <c r="E62" s="12" t="s">
        <v>22</v>
      </c>
      <c r="F62" s="12" t="s">
        <v>23</v>
      </c>
      <c r="G62" s="12" t="s">
        <v>36</v>
      </c>
      <c r="H62" s="12" t="s">
        <v>25</v>
      </c>
      <c r="I62" s="12" t="s">
        <v>32</v>
      </c>
      <c r="J62" s="12">
        <v>4.0</v>
      </c>
      <c r="K62" s="12">
        <v>5.0</v>
      </c>
      <c r="L62" s="12">
        <v>3.0</v>
      </c>
      <c r="M62" s="12">
        <v>5.0</v>
      </c>
      <c r="N62" s="12">
        <v>5.0</v>
      </c>
      <c r="O62" s="12">
        <v>4.0</v>
      </c>
      <c r="P62" s="12">
        <v>3.0</v>
      </c>
      <c r="Q62" s="12">
        <v>5.0</v>
      </c>
      <c r="R62" s="12" t="s">
        <v>27</v>
      </c>
      <c r="S62" s="13" t="s">
        <v>46</v>
      </c>
    </row>
    <row r="63">
      <c r="A63" s="8">
        <v>45557.946197997684</v>
      </c>
      <c r="B63" s="9" t="s">
        <v>19</v>
      </c>
      <c r="C63" s="9" t="s">
        <v>20</v>
      </c>
      <c r="D63" s="9" t="s">
        <v>59</v>
      </c>
      <c r="E63" s="9" t="s">
        <v>22</v>
      </c>
      <c r="F63" s="9" t="s">
        <v>23</v>
      </c>
      <c r="G63" s="9" t="s">
        <v>41</v>
      </c>
      <c r="H63" s="9" t="s">
        <v>25</v>
      </c>
      <c r="I63" s="9" t="s">
        <v>26</v>
      </c>
      <c r="J63" s="9">
        <v>4.0</v>
      </c>
      <c r="K63" s="9">
        <v>3.0</v>
      </c>
      <c r="L63" s="9">
        <v>3.0</v>
      </c>
      <c r="M63" s="9">
        <v>5.0</v>
      </c>
      <c r="N63" s="9">
        <v>5.0</v>
      </c>
      <c r="O63" s="9">
        <v>1.0</v>
      </c>
      <c r="P63" s="9">
        <v>4.0</v>
      </c>
      <c r="Q63" s="9">
        <v>5.0</v>
      </c>
      <c r="R63" s="9" t="s">
        <v>48</v>
      </c>
      <c r="S63" s="10" t="s">
        <v>46</v>
      </c>
    </row>
    <row r="64">
      <c r="A64" s="11">
        <v>45557.94711005787</v>
      </c>
      <c r="B64" s="12" t="s">
        <v>19</v>
      </c>
      <c r="C64" s="12" t="s">
        <v>34</v>
      </c>
      <c r="D64" s="12" t="s">
        <v>21</v>
      </c>
      <c r="E64" s="12" t="s">
        <v>22</v>
      </c>
      <c r="F64" s="12" t="s">
        <v>53</v>
      </c>
      <c r="G64" s="12" t="s">
        <v>51</v>
      </c>
      <c r="H64" s="12" t="s">
        <v>25</v>
      </c>
      <c r="I64" s="12" t="s">
        <v>32</v>
      </c>
      <c r="J64" s="12">
        <v>5.0</v>
      </c>
      <c r="K64" s="12">
        <v>5.0</v>
      </c>
      <c r="L64" s="12">
        <v>5.0</v>
      </c>
      <c r="M64" s="12">
        <v>5.0</v>
      </c>
      <c r="N64" s="12">
        <v>5.0</v>
      </c>
      <c r="O64" s="12">
        <v>5.0</v>
      </c>
      <c r="P64" s="12">
        <v>4.0</v>
      </c>
      <c r="Q64" s="12">
        <v>5.0</v>
      </c>
      <c r="R64" s="12" t="s">
        <v>27</v>
      </c>
      <c r="S64" s="13" t="s">
        <v>46</v>
      </c>
    </row>
    <row r="65">
      <c r="A65" s="8">
        <v>45557.947384583334</v>
      </c>
      <c r="B65" s="9" t="s">
        <v>19</v>
      </c>
      <c r="C65" s="9" t="s">
        <v>34</v>
      </c>
      <c r="D65" s="9" t="s">
        <v>21</v>
      </c>
      <c r="E65" s="9" t="s">
        <v>22</v>
      </c>
      <c r="F65" s="9" t="s">
        <v>40</v>
      </c>
      <c r="G65" s="9" t="s">
        <v>24</v>
      </c>
      <c r="H65" s="9" t="s">
        <v>25</v>
      </c>
      <c r="I65" s="9" t="s">
        <v>26</v>
      </c>
      <c r="J65" s="9">
        <v>5.0</v>
      </c>
      <c r="K65" s="9">
        <v>4.0</v>
      </c>
      <c r="L65" s="9">
        <v>4.0</v>
      </c>
      <c r="M65" s="9">
        <v>5.0</v>
      </c>
      <c r="N65" s="9">
        <v>5.0</v>
      </c>
      <c r="O65" s="9">
        <v>5.0</v>
      </c>
      <c r="P65" s="9">
        <v>5.0</v>
      </c>
      <c r="Q65" s="9">
        <v>4.0</v>
      </c>
      <c r="R65" s="9" t="s">
        <v>82</v>
      </c>
      <c r="S65" s="10" t="s">
        <v>33</v>
      </c>
    </row>
    <row r="66">
      <c r="A66" s="11">
        <v>45557.947534652776</v>
      </c>
      <c r="B66" s="12" t="s">
        <v>19</v>
      </c>
      <c r="C66" s="12" t="s">
        <v>20</v>
      </c>
      <c r="D66" s="12" t="s">
        <v>30</v>
      </c>
      <c r="E66" s="12" t="s">
        <v>22</v>
      </c>
      <c r="F66" s="12" t="s">
        <v>23</v>
      </c>
      <c r="G66" s="12" t="s">
        <v>51</v>
      </c>
      <c r="H66" s="12" t="s">
        <v>25</v>
      </c>
      <c r="I66" s="12" t="s">
        <v>32</v>
      </c>
      <c r="J66" s="12">
        <v>4.0</v>
      </c>
      <c r="K66" s="12">
        <v>3.0</v>
      </c>
      <c r="L66" s="12">
        <v>3.0</v>
      </c>
      <c r="M66" s="12">
        <v>3.0</v>
      </c>
      <c r="N66" s="12">
        <v>3.0</v>
      </c>
      <c r="O66" s="12">
        <v>3.0</v>
      </c>
      <c r="P66" s="12">
        <v>3.0</v>
      </c>
      <c r="Q66" s="12">
        <v>4.0</v>
      </c>
      <c r="R66" s="12" t="s">
        <v>27</v>
      </c>
      <c r="S66" s="13" t="s">
        <v>46</v>
      </c>
    </row>
    <row r="67">
      <c r="A67" s="8">
        <v>45557.94831704861</v>
      </c>
      <c r="B67" s="9" t="s">
        <v>29</v>
      </c>
      <c r="C67" s="9" t="s">
        <v>20</v>
      </c>
      <c r="D67" s="9" t="s">
        <v>96</v>
      </c>
      <c r="E67" s="9" t="s">
        <v>22</v>
      </c>
      <c r="F67" s="9" t="s">
        <v>40</v>
      </c>
      <c r="G67" s="9" t="s">
        <v>24</v>
      </c>
      <c r="H67" s="9" t="s">
        <v>25</v>
      </c>
      <c r="I67" s="9" t="s">
        <v>32</v>
      </c>
      <c r="J67" s="9">
        <v>5.0</v>
      </c>
      <c r="K67" s="9">
        <v>4.0</v>
      </c>
      <c r="L67" s="9">
        <v>3.0</v>
      </c>
      <c r="M67" s="9">
        <v>5.0</v>
      </c>
      <c r="N67" s="9">
        <v>4.0</v>
      </c>
      <c r="O67" s="9">
        <v>4.0</v>
      </c>
      <c r="P67" s="9">
        <v>2.0</v>
      </c>
      <c r="Q67" s="9">
        <v>4.0</v>
      </c>
      <c r="R67" s="9" t="s">
        <v>27</v>
      </c>
      <c r="S67" s="10" t="s">
        <v>42</v>
      </c>
    </row>
    <row r="68">
      <c r="A68" s="11">
        <v>45557.948804444444</v>
      </c>
      <c r="B68" s="12" t="s">
        <v>29</v>
      </c>
      <c r="C68" s="12" t="s">
        <v>34</v>
      </c>
      <c r="D68" s="12" t="s">
        <v>30</v>
      </c>
      <c r="E68" s="12" t="s">
        <v>22</v>
      </c>
      <c r="F68" s="12" t="s">
        <v>23</v>
      </c>
      <c r="G68" s="12" t="s">
        <v>24</v>
      </c>
      <c r="H68" s="12" t="s">
        <v>25</v>
      </c>
      <c r="I68" s="12" t="s">
        <v>32</v>
      </c>
      <c r="J68" s="12">
        <v>5.0</v>
      </c>
      <c r="K68" s="12">
        <v>5.0</v>
      </c>
      <c r="L68" s="12">
        <v>5.0</v>
      </c>
      <c r="M68" s="12">
        <v>5.0</v>
      </c>
      <c r="N68" s="12">
        <v>5.0</v>
      </c>
      <c r="O68" s="12">
        <v>5.0</v>
      </c>
      <c r="P68" s="12">
        <v>5.0</v>
      </c>
      <c r="Q68" s="12">
        <v>5.0</v>
      </c>
      <c r="R68" s="12" t="s">
        <v>48</v>
      </c>
      <c r="S68" s="13" t="s">
        <v>38</v>
      </c>
    </row>
    <row r="69">
      <c r="A69" s="8">
        <v>45557.949116250005</v>
      </c>
      <c r="B69" s="9" t="s">
        <v>29</v>
      </c>
      <c r="C69" s="9" t="s">
        <v>20</v>
      </c>
      <c r="D69" s="9" t="s">
        <v>35</v>
      </c>
      <c r="E69" s="9" t="s">
        <v>22</v>
      </c>
      <c r="F69" s="9" t="s">
        <v>40</v>
      </c>
      <c r="G69" s="9" t="s">
        <v>51</v>
      </c>
      <c r="H69" s="9" t="s">
        <v>25</v>
      </c>
      <c r="I69" s="9" t="s">
        <v>26</v>
      </c>
      <c r="J69" s="9">
        <v>4.0</v>
      </c>
      <c r="K69" s="9">
        <v>4.0</v>
      </c>
      <c r="L69" s="9">
        <v>3.0</v>
      </c>
      <c r="M69" s="9">
        <v>5.0</v>
      </c>
      <c r="N69" s="9">
        <v>5.0</v>
      </c>
      <c r="O69" s="9">
        <v>5.0</v>
      </c>
      <c r="P69" s="9">
        <v>3.0</v>
      </c>
      <c r="Q69" s="9">
        <v>5.0</v>
      </c>
      <c r="R69" s="9" t="s">
        <v>27</v>
      </c>
      <c r="S69" s="10" t="s">
        <v>46</v>
      </c>
    </row>
    <row r="70">
      <c r="A70" s="11">
        <v>45557.949261875</v>
      </c>
      <c r="B70" s="12" t="s">
        <v>29</v>
      </c>
      <c r="C70" s="12" t="s">
        <v>34</v>
      </c>
      <c r="D70" s="12" t="s">
        <v>35</v>
      </c>
      <c r="E70" s="12" t="s">
        <v>22</v>
      </c>
      <c r="F70" s="12" t="s">
        <v>40</v>
      </c>
      <c r="G70" s="12" t="s">
        <v>36</v>
      </c>
      <c r="H70" s="12" t="s">
        <v>60</v>
      </c>
      <c r="I70" s="12" t="s">
        <v>26</v>
      </c>
      <c r="J70" s="12">
        <v>4.0</v>
      </c>
      <c r="K70" s="12">
        <v>5.0</v>
      </c>
      <c r="L70" s="12">
        <v>4.0</v>
      </c>
      <c r="M70" s="12">
        <v>4.0</v>
      </c>
      <c r="N70" s="12">
        <v>5.0</v>
      </c>
      <c r="O70" s="12">
        <v>5.0</v>
      </c>
      <c r="P70" s="12">
        <v>3.0</v>
      </c>
      <c r="Q70" s="12">
        <v>4.0</v>
      </c>
      <c r="R70" s="12" t="s">
        <v>27</v>
      </c>
      <c r="S70" s="13" t="s">
        <v>42</v>
      </c>
    </row>
    <row r="71">
      <c r="A71" s="8">
        <v>45557.95047621528</v>
      </c>
      <c r="B71" s="9" t="s">
        <v>29</v>
      </c>
      <c r="C71" s="9" t="s">
        <v>20</v>
      </c>
      <c r="D71" s="9" t="s">
        <v>30</v>
      </c>
      <c r="E71" s="9" t="s">
        <v>22</v>
      </c>
      <c r="F71" s="9" t="s">
        <v>23</v>
      </c>
      <c r="G71" s="9" t="s">
        <v>24</v>
      </c>
      <c r="H71" s="9" t="s">
        <v>25</v>
      </c>
      <c r="I71" s="9" t="s">
        <v>32</v>
      </c>
      <c r="J71" s="9">
        <v>5.0</v>
      </c>
      <c r="K71" s="9">
        <v>4.0</v>
      </c>
      <c r="L71" s="9">
        <v>3.0</v>
      </c>
      <c r="M71" s="9">
        <v>4.0</v>
      </c>
      <c r="N71" s="9">
        <v>4.0</v>
      </c>
      <c r="O71" s="9">
        <v>4.0</v>
      </c>
      <c r="P71" s="9">
        <v>5.0</v>
      </c>
      <c r="Q71" s="9">
        <v>5.0</v>
      </c>
      <c r="R71" s="9" t="s">
        <v>27</v>
      </c>
      <c r="S71" s="10" t="s">
        <v>42</v>
      </c>
    </row>
    <row r="72">
      <c r="A72" s="11">
        <v>45557.95092346065</v>
      </c>
      <c r="B72" s="12" t="s">
        <v>29</v>
      </c>
      <c r="C72" s="12" t="s">
        <v>34</v>
      </c>
      <c r="D72" s="12" t="s">
        <v>35</v>
      </c>
      <c r="E72" s="12" t="s">
        <v>22</v>
      </c>
      <c r="F72" s="12" t="s">
        <v>53</v>
      </c>
      <c r="G72" s="12" t="s">
        <v>24</v>
      </c>
      <c r="H72" s="12" t="s">
        <v>25</v>
      </c>
      <c r="I72" s="12" t="s">
        <v>87</v>
      </c>
      <c r="J72" s="12">
        <v>3.0</v>
      </c>
      <c r="K72" s="12">
        <v>4.0</v>
      </c>
      <c r="L72" s="12">
        <v>4.0</v>
      </c>
      <c r="M72" s="12">
        <v>4.0</v>
      </c>
      <c r="N72" s="12">
        <v>5.0</v>
      </c>
      <c r="O72" s="12">
        <v>3.0</v>
      </c>
      <c r="P72" s="12">
        <v>2.0</v>
      </c>
      <c r="Q72" s="12">
        <v>3.0</v>
      </c>
      <c r="R72" s="12" t="s">
        <v>48</v>
      </c>
      <c r="S72" s="13" t="s">
        <v>46</v>
      </c>
    </row>
    <row r="73">
      <c r="A73" s="8">
        <v>45557.951685057866</v>
      </c>
      <c r="B73" s="9" t="s">
        <v>19</v>
      </c>
      <c r="C73" s="9" t="s">
        <v>20</v>
      </c>
      <c r="D73" s="9" t="s">
        <v>96</v>
      </c>
      <c r="E73" s="9" t="s">
        <v>22</v>
      </c>
      <c r="F73" s="9" t="s">
        <v>40</v>
      </c>
      <c r="G73" s="9" t="s">
        <v>24</v>
      </c>
      <c r="H73" s="9" t="s">
        <v>25</v>
      </c>
      <c r="I73" s="9" t="s">
        <v>32</v>
      </c>
      <c r="J73" s="9">
        <v>4.0</v>
      </c>
      <c r="K73" s="9">
        <v>4.0</v>
      </c>
      <c r="L73" s="9">
        <v>4.0</v>
      </c>
      <c r="M73" s="9">
        <v>4.0</v>
      </c>
      <c r="N73" s="9">
        <v>4.0</v>
      </c>
      <c r="O73" s="9">
        <v>4.0</v>
      </c>
      <c r="P73" s="9">
        <v>4.0</v>
      </c>
      <c r="Q73" s="9">
        <v>4.0</v>
      </c>
      <c r="R73" s="9" t="s">
        <v>27</v>
      </c>
      <c r="S73" s="10" t="s">
        <v>42</v>
      </c>
    </row>
    <row r="74">
      <c r="A74" s="11">
        <v>45557.952824039356</v>
      </c>
      <c r="B74" s="12" t="s">
        <v>19</v>
      </c>
      <c r="C74" s="12" t="s">
        <v>20</v>
      </c>
      <c r="D74" s="12" t="s">
        <v>35</v>
      </c>
      <c r="F74" s="12" t="s">
        <v>23</v>
      </c>
      <c r="G74" s="12" t="s">
        <v>51</v>
      </c>
      <c r="H74" s="12" t="s">
        <v>58</v>
      </c>
      <c r="I74" s="12" t="s">
        <v>26</v>
      </c>
      <c r="J74" s="12">
        <v>4.0</v>
      </c>
      <c r="K74" s="12">
        <v>4.0</v>
      </c>
      <c r="L74" s="12">
        <v>4.0</v>
      </c>
      <c r="M74" s="12">
        <v>3.0</v>
      </c>
      <c r="N74" s="12">
        <v>3.0</v>
      </c>
      <c r="O74" s="12">
        <v>3.0</v>
      </c>
      <c r="P74" s="12">
        <v>1.0</v>
      </c>
      <c r="Q74" s="12">
        <v>2.0</v>
      </c>
    </row>
    <row r="75">
      <c r="A75" s="8">
        <v>45557.95421568287</v>
      </c>
      <c r="B75" s="9" t="s">
        <v>29</v>
      </c>
      <c r="C75" s="9" t="s">
        <v>20</v>
      </c>
      <c r="D75" s="9" t="s">
        <v>35</v>
      </c>
      <c r="E75" s="9" t="s">
        <v>22</v>
      </c>
      <c r="F75" s="9" t="s">
        <v>40</v>
      </c>
      <c r="G75" s="9" t="s">
        <v>36</v>
      </c>
      <c r="H75" s="9" t="s">
        <v>83</v>
      </c>
      <c r="I75" s="9" t="s">
        <v>26</v>
      </c>
      <c r="J75" s="9">
        <v>3.0</v>
      </c>
      <c r="L75" s="9">
        <v>3.0</v>
      </c>
      <c r="M75" s="9">
        <v>5.0</v>
      </c>
      <c r="N75" s="9">
        <v>5.0</v>
      </c>
      <c r="O75" s="9">
        <v>3.0</v>
      </c>
      <c r="P75" s="9">
        <v>3.0</v>
      </c>
      <c r="Q75" s="9">
        <v>2.0</v>
      </c>
      <c r="R75" s="9" t="s">
        <v>82</v>
      </c>
      <c r="S75" s="10" t="s">
        <v>71</v>
      </c>
    </row>
    <row r="76">
      <c r="A76" s="11">
        <v>45557.954499837964</v>
      </c>
      <c r="B76" s="12" t="s">
        <v>19</v>
      </c>
      <c r="C76" s="12" t="s">
        <v>34</v>
      </c>
      <c r="D76" s="12" t="s">
        <v>97</v>
      </c>
      <c r="E76" s="12" t="s">
        <v>22</v>
      </c>
      <c r="F76" s="12" t="s">
        <v>40</v>
      </c>
      <c r="G76" s="12" t="s">
        <v>36</v>
      </c>
      <c r="H76" s="12" t="s">
        <v>98</v>
      </c>
      <c r="I76" s="12" t="s">
        <v>32</v>
      </c>
      <c r="J76" s="12">
        <v>4.0</v>
      </c>
      <c r="L76" s="12">
        <v>3.0</v>
      </c>
      <c r="M76" s="12">
        <v>4.0</v>
      </c>
      <c r="P76" s="12">
        <v>1.0</v>
      </c>
      <c r="Q76" s="12">
        <v>3.0</v>
      </c>
      <c r="R76" s="12" t="s">
        <v>27</v>
      </c>
    </row>
    <row r="77">
      <c r="A77" s="8">
        <v>45557.95493371528</v>
      </c>
      <c r="B77" s="9" t="s">
        <v>19</v>
      </c>
      <c r="C77" s="9" t="s">
        <v>34</v>
      </c>
      <c r="D77" s="9" t="s">
        <v>73</v>
      </c>
      <c r="E77" s="9" t="s">
        <v>22</v>
      </c>
      <c r="F77" s="9" t="s">
        <v>23</v>
      </c>
      <c r="G77" s="9" t="s">
        <v>36</v>
      </c>
      <c r="H77" s="9" t="s">
        <v>25</v>
      </c>
      <c r="I77" s="9" t="s">
        <v>26</v>
      </c>
      <c r="J77" s="9">
        <v>5.0</v>
      </c>
      <c r="K77" s="9">
        <v>5.0</v>
      </c>
      <c r="L77" s="9">
        <v>3.0</v>
      </c>
      <c r="M77" s="9">
        <v>4.0</v>
      </c>
      <c r="N77" s="9">
        <v>4.0</v>
      </c>
      <c r="O77" s="9">
        <v>5.0</v>
      </c>
      <c r="P77" s="9">
        <v>1.0</v>
      </c>
      <c r="R77" s="9" t="s">
        <v>27</v>
      </c>
      <c r="S77" s="10" t="s">
        <v>46</v>
      </c>
    </row>
    <row r="78">
      <c r="A78" s="11">
        <v>45557.95551355324</v>
      </c>
      <c r="B78" s="12" t="s">
        <v>29</v>
      </c>
      <c r="C78" s="12" t="s">
        <v>20</v>
      </c>
      <c r="D78" s="12" t="s">
        <v>35</v>
      </c>
      <c r="E78" s="12" t="s">
        <v>22</v>
      </c>
      <c r="F78" s="12" t="s">
        <v>40</v>
      </c>
      <c r="G78" s="12" t="s">
        <v>51</v>
      </c>
      <c r="H78" s="12" t="s">
        <v>60</v>
      </c>
      <c r="I78" s="12" t="s">
        <v>26</v>
      </c>
      <c r="J78" s="12">
        <v>3.0</v>
      </c>
      <c r="K78" s="12">
        <v>4.0</v>
      </c>
      <c r="L78" s="12">
        <v>3.0</v>
      </c>
      <c r="M78" s="12">
        <v>4.0</v>
      </c>
      <c r="N78" s="12">
        <v>5.0</v>
      </c>
      <c r="O78" s="12">
        <v>4.0</v>
      </c>
      <c r="P78" s="12">
        <v>2.0</v>
      </c>
      <c r="Q78" s="12">
        <v>4.0</v>
      </c>
      <c r="R78" s="12" t="s">
        <v>27</v>
      </c>
      <c r="S78" s="13" t="s">
        <v>33</v>
      </c>
    </row>
    <row r="79">
      <c r="A79" s="8">
        <v>45557.95807681713</v>
      </c>
      <c r="B79" s="9" t="s">
        <v>29</v>
      </c>
      <c r="C79" s="9" t="s">
        <v>20</v>
      </c>
      <c r="D79" s="9" t="s">
        <v>85</v>
      </c>
      <c r="E79" s="9" t="s">
        <v>22</v>
      </c>
      <c r="F79" s="9" t="s">
        <v>53</v>
      </c>
      <c r="G79" s="9" t="s">
        <v>41</v>
      </c>
      <c r="I79" s="9" t="s">
        <v>32</v>
      </c>
      <c r="P79" s="9">
        <v>1.0</v>
      </c>
      <c r="R79" s="9" t="s">
        <v>27</v>
      </c>
      <c r="S79" s="10" t="s">
        <v>46</v>
      </c>
    </row>
    <row r="80">
      <c r="A80" s="11">
        <v>45557.95971431713</v>
      </c>
      <c r="B80" s="12" t="s">
        <v>29</v>
      </c>
      <c r="C80" s="12" t="s">
        <v>20</v>
      </c>
      <c r="D80" s="12" t="s">
        <v>35</v>
      </c>
      <c r="E80" s="12" t="s">
        <v>22</v>
      </c>
      <c r="F80" s="12" t="s">
        <v>40</v>
      </c>
      <c r="G80" s="12" t="s">
        <v>36</v>
      </c>
      <c r="H80" s="12" t="s">
        <v>25</v>
      </c>
      <c r="I80" s="12" t="s">
        <v>32</v>
      </c>
      <c r="J80" s="12">
        <v>4.0</v>
      </c>
      <c r="K80" s="12">
        <v>2.0</v>
      </c>
      <c r="L80" s="12">
        <v>2.0</v>
      </c>
      <c r="M80" s="12">
        <v>4.0</v>
      </c>
      <c r="N80" s="12">
        <v>5.0</v>
      </c>
      <c r="O80" s="12">
        <v>3.0</v>
      </c>
      <c r="P80" s="12">
        <v>4.0</v>
      </c>
      <c r="Q80" s="12">
        <v>4.0</v>
      </c>
      <c r="R80" s="12" t="s">
        <v>48</v>
      </c>
      <c r="S80" s="13" t="s">
        <v>46</v>
      </c>
    </row>
    <row r="81">
      <c r="A81" s="8">
        <v>45557.96033552084</v>
      </c>
      <c r="B81" s="9" t="s">
        <v>19</v>
      </c>
      <c r="C81" s="9" t="s">
        <v>34</v>
      </c>
      <c r="D81" s="9" t="s">
        <v>99</v>
      </c>
      <c r="E81" s="9" t="s">
        <v>22</v>
      </c>
      <c r="F81" s="9" t="s">
        <v>40</v>
      </c>
      <c r="G81" s="9" t="s">
        <v>41</v>
      </c>
      <c r="H81" s="9" t="s">
        <v>25</v>
      </c>
      <c r="I81" s="9" t="s">
        <v>32</v>
      </c>
      <c r="J81" s="9">
        <v>4.0</v>
      </c>
      <c r="K81" s="9">
        <v>4.0</v>
      </c>
      <c r="L81" s="9">
        <v>5.0</v>
      </c>
      <c r="M81" s="9">
        <v>4.0</v>
      </c>
      <c r="N81" s="9">
        <v>3.0</v>
      </c>
      <c r="O81" s="9">
        <v>5.0</v>
      </c>
      <c r="P81" s="9">
        <v>3.0</v>
      </c>
      <c r="Q81" s="9">
        <v>5.0</v>
      </c>
      <c r="R81" s="9" t="s">
        <v>27</v>
      </c>
      <c r="S81" s="10" t="s">
        <v>33</v>
      </c>
    </row>
    <row r="82">
      <c r="A82" s="11">
        <v>45557.96200649306</v>
      </c>
      <c r="B82" s="12" t="s">
        <v>29</v>
      </c>
      <c r="C82" s="12" t="s">
        <v>20</v>
      </c>
      <c r="D82" s="12" t="s">
        <v>100</v>
      </c>
      <c r="E82" s="12" t="s">
        <v>22</v>
      </c>
      <c r="F82" s="12" t="s">
        <v>23</v>
      </c>
      <c r="G82" s="12" t="s">
        <v>51</v>
      </c>
      <c r="H82" s="12" t="s">
        <v>25</v>
      </c>
      <c r="I82" s="12" t="s">
        <v>32</v>
      </c>
      <c r="J82" s="12">
        <v>4.0</v>
      </c>
      <c r="K82" s="12">
        <v>5.0</v>
      </c>
      <c r="L82" s="12">
        <v>4.0</v>
      </c>
      <c r="M82" s="12">
        <v>5.0</v>
      </c>
      <c r="N82" s="12">
        <v>5.0</v>
      </c>
      <c r="O82" s="12">
        <v>5.0</v>
      </c>
      <c r="P82" s="12">
        <v>5.0</v>
      </c>
      <c r="Q82" s="12">
        <v>5.0</v>
      </c>
      <c r="R82" s="12" t="s">
        <v>27</v>
      </c>
      <c r="S82" s="13" t="s">
        <v>38</v>
      </c>
    </row>
    <row r="83">
      <c r="A83" s="8">
        <v>45557.96294074074</v>
      </c>
      <c r="B83" s="9" t="s">
        <v>29</v>
      </c>
      <c r="C83" s="9" t="s">
        <v>20</v>
      </c>
      <c r="D83" s="9" t="s">
        <v>21</v>
      </c>
      <c r="E83" s="9" t="s">
        <v>22</v>
      </c>
      <c r="F83" s="9" t="s">
        <v>23</v>
      </c>
      <c r="G83" s="9" t="s">
        <v>51</v>
      </c>
      <c r="H83" s="9" t="s">
        <v>101</v>
      </c>
      <c r="I83" s="9" t="s">
        <v>32</v>
      </c>
      <c r="J83" s="9">
        <v>4.0</v>
      </c>
      <c r="K83" s="9">
        <v>4.0</v>
      </c>
      <c r="L83" s="9">
        <v>4.0</v>
      </c>
      <c r="M83" s="9">
        <v>5.0</v>
      </c>
      <c r="N83" s="9">
        <v>4.0</v>
      </c>
      <c r="O83" s="9">
        <v>3.0</v>
      </c>
      <c r="P83" s="9">
        <v>1.0</v>
      </c>
      <c r="Q83" s="9">
        <v>4.0</v>
      </c>
      <c r="R83" s="9" t="s">
        <v>48</v>
      </c>
      <c r="S83" s="10" t="s">
        <v>42</v>
      </c>
    </row>
    <row r="84">
      <c r="A84" s="11">
        <v>45557.963222418985</v>
      </c>
      <c r="B84" s="12" t="s">
        <v>29</v>
      </c>
      <c r="C84" s="12" t="s">
        <v>34</v>
      </c>
      <c r="D84" s="12" t="s">
        <v>67</v>
      </c>
      <c r="E84" s="12" t="s">
        <v>22</v>
      </c>
      <c r="F84" s="12" t="s">
        <v>40</v>
      </c>
      <c r="G84" s="12" t="s">
        <v>41</v>
      </c>
      <c r="H84" s="12" t="s">
        <v>60</v>
      </c>
      <c r="I84" s="12" t="s">
        <v>26</v>
      </c>
      <c r="J84" s="12">
        <v>4.0</v>
      </c>
      <c r="K84" s="12">
        <v>5.0</v>
      </c>
      <c r="L84" s="12">
        <v>5.0</v>
      </c>
      <c r="M84" s="12">
        <v>4.0</v>
      </c>
      <c r="N84" s="12">
        <v>5.0</v>
      </c>
      <c r="O84" s="12">
        <v>5.0</v>
      </c>
      <c r="P84" s="12">
        <v>4.0</v>
      </c>
      <c r="Q84" s="12">
        <v>4.0</v>
      </c>
      <c r="R84" s="12" t="s">
        <v>48</v>
      </c>
      <c r="S84" s="13" t="s">
        <v>71</v>
      </c>
    </row>
    <row r="85">
      <c r="A85" s="8">
        <v>45557.96650510417</v>
      </c>
      <c r="B85" s="9" t="s">
        <v>29</v>
      </c>
      <c r="C85" s="9" t="s">
        <v>20</v>
      </c>
      <c r="D85" s="9" t="s">
        <v>35</v>
      </c>
      <c r="E85" s="9" t="s">
        <v>22</v>
      </c>
      <c r="F85" s="9" t="s">
        <v>23</v>
      </c>
      <c r="G85" s="9" t="s">
        <v>36</v>
      </c>
      <c r="H85" s="9" t="s">
        <v>25</v>
      </c>
      <c r="I85" s="9" t="s">
        <v>26</v>
      </c>
      <c r="J85" s="9">
        <v>4.0</v>
      </c>
      <c r="K85" s="9">
        <v>5.0</v>
      </c>
      <c r="L85" s="9">
        <v>5.0</v>
      </c>
      <c r="M85" s="9">
        <v>3.0</v>
      </c>
      <c r="N85" s="9">
        <v>3.0</v>
      </c>
      <c r="O85" s="9">
        <v>4.0</v>
      </c>
      <c r="P85" s="9">
        <v>5.0</v>
      </c>
      <c r="Q85" s="9">
        <v>4.0</v>
      </c>
      <c r="R85" s="9" t="s">
        <v>27</v>
      </c>
      <c r="S85" s="10" t="s">
        <v>46</v>
      </c>
    </row>
    <row r="86">
      <c r="A86" s="11">
        <v>45557.96690392361</v>
      </c>
      <c r="B86" s="12" t="s">
        <v>29</v>
      </c>
      <c r="C86" s="12" t="s">
        <v>34</v>
      </c>
      <c r="D86" s="12" t="s">
        <v>102</v>
      </c>
      <c r="E86" s="12" t="s">
        <v>22</v>
      </c>
      <c r="F86" s="12" t="s">
        <v>40</v>
      </c>
      <c r="G86" s="12" t="s">
        <v>41</v>
      </c>
      <c r="H86" s="12" t="s">
        <v>25</v>
      </c>
      <c r="I86" s="12" t="s">
        <v>26</v>
      </c>
      <c r="J86" s="12">
        <v>5.0</v>
      </c>
      <c r="K86" s="12">
        <v>4.0</v>
      </c>
      <c r="L86" s="12">
        <v>3.0</v>
      </c>
      <c r="M86" s="12">
        <v>4.0</v>
      </c>
      <c r="N86" s="12">
        <v>3.0</v>
      </c>
      <c r="O86" s="12">
        <v>3.0</v>
      </c>
      <c r="P86" s="12">
        <v>2.0</v>
      </c>
      <c r="Q86" s="12">
        <v>3.0</v>
      </c>
      <c r="R86" s="12" t="s">
        <v>27</v>
      </c>
      <c r="S86" s="13" t="s">
        <v>42</v>
      </c>
    </row>
    <row r="87">
      <c r="A87" s="8">
        <v>45557.96755321759</v>
      </c>
      <c r="B87" s="9" t="s">
        <v>19</v>
      </c>
      <c r="C87" s="9" t="s">
        <v>20</v>
      </c>
      <c r="D87" s="9" t="s">
        <v>35</v>
      </c>
      <c r="E87" s="9" t="s">
        <v>22</v>
      </c>
      <c r="F87" s="9" t="s">
        <v>40</v>
      </c>
      <c r="G87" s="9" t="s">
        <v>36</v>
      </c>
      <c r="H87" s="9" t="s">
        <v>25</v>
      </c>
      <c r="I87" s="9" t="s">
        <v>26</v>
      </c>
      <c r="J87" s="9">
        <v>4.0</v>
      </c>
      <c r="K87" s="9">
        <v>3.0</v>
      </c>
      <c r="L87" s="9">
        <v>4.0</v>
      </c>
      <c r="M87" s="9">
        <v>4.0</v>
      </c>
      <c r="N87" s="9">
        <v>5.0</v>
      </c>
      <c r="O87" s="9">
        <v>3.0</v>
      </c>
      <c r="P87" s="9">
        <v>3.0</v>
      </c>
      <c r="Q87" s="9">
        <v>4.0</v>
      </c>
      <c r="R87" s="9" t="s">
        <v>27</v>
      </c>
      <c r="S87" s="10" t="s">
        <v>46</v>
      </c>
    </row>
    <row r="88">
      <c r="A88" s="11">
        <v>45557.967623749995</v>
      </c>
      <c r="B88" s="12" t="s">
        <v>29</v>
      </c>
      <c r="C88" s="12" t="s">
        <v>20</v>
      </c>
      <c r="D88" s="12" t="s">
        <v>103</v>
      </c>
      <c r="E88" s="12" t="s">
        <v>22</v>
      </c>
      <c r="F88" s="12" t="s">
        <v>81</v>
      </c>
      <c r="G88" s="12" t="s">
        <v>36</v>
      </c>
      <c r="H88" s="12" t="s">
        <v>104</v>
      </c>
      <c r="I88" s="12" t="s">
        <v>32</v>
      </c>
      <c r="J88" s="12">
        <v>3.0</v>
      </c>
      <c r="K88" s="12">
        <v>4.0</v>
      </c>
      <c r="L88" s="12">
        <v>3.0</v>
      </c>
      <c r="M88" s="12">
        <v>3.0</v>
      </c>
      <c r="N88" s="12">
        <v>4.0</v>
      </c>
      <c r="O88" s="12">
        <v>3.0</v>
      </c>
      <c r="P88" s="12">
        <v>1.0</v>
      </c>
      <c r="Q88" s="12">
        <v>1.0</v>
      </c>
      <c r="R88" s="12" t="s">
        <v>27</v>
      </c>
      <c r="S88" s="13" t="s">
        <v>33</v>
      </c>
    </row>
    <row r="89">
      <c r="A89" s="8">
        <v>45557.96902940972</v>
      </c>
      <c r="B89" s="9" t="s">
        <v>19</v>
      </c>
      <c r="C89" s="9" t="s">
        <v>34</v>
      </c>
      <c r="D89" s="9" t="s">
        <v>67</v>
      </c>
      <c r="E89" s="9" t="s">
        <v>22</v>
      </c>
      <c r="F89" s="9" t="s">
        <v>23</v>
      </c>
      <c r="G89" s="9" t="s">
        <v>24</v>
      </c>
      <c r="H89" s="9" t="s">
        <v>25</v>
      </c>
      <c r="I89" s="9" t="s">
        <v>32</v>
      </c>
      <c r="J89" s="9">
        <v>5.0</v>
      </c>
      <c r="K89" s="9">
        <v>5.0</v>
      </c>
      <c r="L89" s="9">
        <v>5.0</v>
      </c>
      <c r="M89" s="9">
        <v>5.0</v>
      </c>
      <c r="N89" s="9">
        <v>5.0</v>
      </c>
      <c r="O89" s="9">
        <v>5.0</v>
      </c>
      <c r="P89" s="9">
        <v>5.0</v>
      </c>
      <c r="Q89" s="9">
        <v>5.0</v>
      </c>
      <c r="R89" s="9" t="s">
        <v>27</v>
      </c>
      <c r="S89" s="10" t="s">
        <v>33</v>
      </c>
    </row>
    <row r="90">
      <c r="A90" s="11">
        <v>45557.971197708335</v>
      </c>
      <c r="B90" s="12" t="s">
        <v>29</v>
      </c>
      <c r="C90" s="12" t="s">
        <v>20</v>
      </c>
      <c r="D90" s="12" t="s">
        <v>59</v>
      </c>
      <c r="E90" s="12" t="s">
        <v>22</v>
      </c>
      <c r="F90" s="12" t="s">
        <v>53</v>
      </c>
      <c r="G90" s="12" t="s">
        <v>24</v>
      </c>
      <c r="H90" s="12" t="s">
        <v>25</v>
      </c>
      <c r="I90" s="12" t="s">
        <v>32</v>
      </c>
      <c r="J90" s="12">
        <v>4.0</v>
      </c>
      <c r="K90" s="12">
        <v>4.0</v>
      </c>
      <c r="L90" s="12">
        <v>3.0</v>
      </c>
      <c r="M90" s="12">
        <v>4.0</v>
      </c>
      <c r="N90" s="12">
        <v>4.0</v>
      </c>
      <c r="O90" s="12">
        <v>3.0</v>
      </c>
      <c r="P90" s="12">
        <v>2.0</v>
      </c>
      <c r="Q90" s="12">
        <v>4.0</v>
      </c>
      <c r="R90" s="12" t="s">
        <v>27</v>
      </c>
      <c r="S90" s="13" t="s">
        <v>33</v>
      </c>
    </row>
    <row r="91">
      <c r="A91" s="8">
        <v>45557.97580105324</v>
      </c>
      <c r="B91" s="9" t="s">
        <v>29</v>
      </c>
      <c r="C91" s="9" t="s">
        <v>20</v>
      </c>
      <c r="D91" s="9" t="s">
        <v>67</v>
      </c>
      <c r="E91" s="9" t="s">
        <v>22</v>
      </c>
      <c r="F91" s="9" t="s">
        <v>23</v>
      </c>
      <c r="G91" s="9" t="s">
        <v>41</v>
      </c>
      <c r="H91" s="9" t="s">
        <v>25</v>
      </c>
      <c r="I91" s="9" t="s">
        <v>32</v>
      </c>
      <c r="J91" s="9">
        <v>5.0</v>
      </c>
      <c r="K91" s="9">
        <v>5.0</v>
      </c>
      <c r="L91" s="9">
        <v>3.0</v>
      </c>
      <c r="M91" s="9">
        <v>5.0</v>
      </c>
      <c r="N91" s="9">
        <v>4.0</v>
      </c>
      <c r="O91" s="9">
        <v>4.0</v>
      </c>
      <c r="P91" s="9">
        <v>2.0</v>
      </c>
      <c r="Q91" s="9">
        <v>5.0</v>
      </c>
      <c r="R91" s="9" t="s">
        <v>27</v>
      </c>
      <c r="S91" s="10" t="s">
        <v>33</v>
      </c>
    </row>
    <row r="92">
      <c r="A92" s="11">
        <v>45557.976723506945</v>
      </c>
      <c r="B92" s="12" t="s">
        <v>29</v>
      </c>
      <c r="C92" s="12" t="s">
        <v>20</v>
      </c>
      <c r="D92" s="12" t="s">
        <v>35</v>
      </c>
      <c r="E92" s="12" t="s">
        <v>22</v>
      </c>
      <c r="F92" s="12" t="s">
        <v>23</v>
      </c>
      <c r="G92" s="12" t="s">
        <v>51</v>
      </c>
      <c r="H92" s="12" t="s">
        <v>25</v>
      </c>
      <c r="I92" s="12" t="s">
        <v>26</v>
      </c>
      <c r="J92" s="12">
        <v>4.0</v>
      </c>
      <c r="K92" s="12">
        <v>3.0</v>
      </c>
      <c r="L92" s="12">
        <v>4.0</v>
      </c>
      <c r="M92" s="12">
        <v>5.0</v>
      </c>
      <c r="N92" s="12">
        <v>5.0</v>
      </c>
      <c r="O92" s="12">
        <v>3.0</v>
      </c>
      <c r="P92" s="12">
        <v>2.0</v>
      </c>
      <c r="Q92" s="12">
        <v>4.0</v>
      </c>
      <c r="R92" s="12" t="s">
        <v>48</v>
      </c>
      <c r="S92" s="13" t="s">
        <v>38</v>
      </c>
    </row>
    <row r="93">
      <c r="A93" s="8">
        <v>45557.9825128588</v>
      </c>
      <c r="B93" s="9" t="s">
        <v>29</v>
      </c>
      <c r="C93" s="9" t="s">
        <v>20</v>
      </c>
      <c r="D93" s="9" t="s">
        <v>59</v>
      </c>
      <c r="E93" s="9" t="s">
        <v>22</v>
      </c>
      <c r="F93" s="9" t="s">
        <v>40</v>
      </c>
      <c r="G93" s="9" t="s">
        <v>36</v>
      </c>
      <c r="H93" s="9" t="s">
        <v>25</v>
      </c>
      <c r="I93" s="9" t="s">
        <v>32</v>
      </c>
      <c r="J93" s="9">
        <v>4.0</v>
      </c>
      <c r="K93" s="9">
        <v>5.0</v>
      </c>
      <c r="L93" s="9">
        <v>3.0</v>
      </c>
      <c r="M93" s="9">
        <v>5.0</v>
      </c>
      <c r="N93" s="9">
        <v>5.0</v>
      </c>
      <c r="O93" s="9">
        <v>4.0</v>
      </c>
      <c r="P93" s="9">
        <v>4.0</v>
      </c>
      <c r="Q93" s="9">
        <v>4.0</v>
      </c>
      <c r="R93" s="9" t="s">
        <v>27</v>
      </c>
      <c r="S93" s="10" t="s">
        <v>33</v>
      </c>
    </row>
    <row r="94">
      <c r="A94" s="11">
        <v>45557.98437436343</v>
      </c>
      <c r="B94" s="12" t="s">
        <v>29</v>
      </c>
      <c r="C94" s="12" t="s">
        <v>20</v>
      </c>
      <c r="D94" s="12" t="s">
        <v>35</v>
      </c>
      <c r="E94" s="12" t="s">
        <v>22</v>
      </c>
      <c r="F94" s="12" t="s">
        <v>23</v>
      </c>
      <c r="G94" s="12" t="s">
        <v>51</v>
      </c>
      <c r="H94" s="12" t="s">
        <v>25</v>
      </c>
      <c r="I94" s="12" t="s">
        <v>26</v>
      </c>
      <c r="J94" s="12">
        <v>4.0</v>
      </c>
      <c r="K94" s="12">
        <v>3.0</v>
      </c>
      <c r="L94" s="12">
        <v>4.0</v>
      </c>
      <c r="M94" s="12">
        <v>5.0</v>
      </c>
      <c r="N94" s="12">
        <v>5.0</v>
      </c>
      <c r="O94" s="12">
        <v>5.0</v>
      </c>
      <c r="P94" s="12">
        <v>3.0</v>
      </c>
      <c r="Q94" s="12">
        <v>4.0</v>
      </c>
      <c r="R94" s="12" t="s">
        <v>27</v>
      </c>
      <c r="S94" s="13" t="s">
        <v>46</v>
      </c>
    </row>
    <row r="95">
      <c r="A95" s="8">
        <v>45557.98442550926</v>
      </c>
      <c r="B95" s="9" t="s">
        <v>29</v>
      </c>
      <c r="C95" s="9" t="s">
        <v>20</v>
      </c>
      <c r="D95" s="9" t="s">
        <v>35</v>
      </c>
      <c r="E95" s="9" t="s">
        <v>22</v>
      </c>
      <c r="F95" s="9" t="s">
        <v>23</v>
      </c>
      <c r="G95" s="9" t="s">
        <v>36</v>
      </c>
      <c r="H95" s="9" t="s">
        <v>25</v>
      </c>
      <c r="I95" s="9" t="s">
        <v>32</v>
      </c>
      <c r="J95" s="9">
        <v>4.0</v>
      </c>
      <c r="K95" s="9">
        <v>5.0</v>
      </c>
      <c r="L95" s="9">
        <v>4.0</v>
      </c>
      <c r="M95" s="9">
        <v>5.0</v>
      </c>
      <c r="N95" s="9">
        <v>5.0</v>
      </c>
      <c r="O95" s="9">
        <v>3.0</v>
      </c>
      <c r="P95" s="9">
        <v>3.0</v>
      </c>
      <c r="Q95" s="9">
        <v>4.0</v>
      </c>
      <c r="R95" s="9" t="s">
        <v>48</v>
      </c>
      <c r="S95" s="10" t="s">
        <v>42</v>
      </c>
    </row>
    <row r="96">
      <c r="A96" s="11">
        <v>45557.98585243056</v>
      </c>
      <c r="B96" s="12" t="s">
        <v>19</v>
      </c>
      <c r="C96" s="12" t="s">
        <v>20</v>
      </c>
      <c r="D96" s="12" t="s">
        <v>105</v>
      </c>
      <c r="E96" s="12" t="s">
        <v>22</v>
      </c>
      <c r="F96" s="12" t="s">
        <v>23</v>
      </c>
      <c r="G96" s="12" t="s">
        <v>24</v>
      </c>
      <c r="H96" s="12" t="s">
        <v>25</v>
      </c>
      <c r="I96" s="12" t="s">
        <v>26</v>
      </c>
      <c r="J96" s="12">
        <v>5.0</v>
      </c>
      <c r="L96" s="12">
        <v>4.0</v>
      </c>
      <c r="M96" s="12">
        <v>4.0</v>
      </c>
      <c r="N96" s="12">
        <v>5.0</v>
      </c>
      <c r="O96" s="12">
        <v>5.0</v>
      </c>
      <c r="P96" s="12">
        <v>5.0</v>
      </c>
      <c r="Q96" s="12">
        <v>5.0</v>
      </c>
      <c r="R96" s="12" t="s">
        <v>27</v>
      </c>
      <c r="S96" s="13" t="s">
        <v>46</v>
      </c>
    </row>
    <row r="97">
      <c r="A97" s="8">
        <v>45557.99197444445</v>
      </c>
      <c r="B97" s="9" t="s">
        <v>29</v>
      </c>
      <c r="C97" s="9" t="s">
        <v>20</v>
      </c>
      <c r="D97" s="9" t="s">
        <v>30</v>
      </c>
      <c r="E97" s="9" t="s">
        <v>22</v>
      </c>
      <c r="F97" s="9" t="s">
        <v>23</v>
      </c>
      <c r="G97" s="9" t="s">
        <v>106</v>
      </c>
      <c r="H97" s="9" t="s">
        <v>25</v>
      </c>
      <c r="I97" s="9" t="s">
        <v>32</v>
      </c>
      <c r="J97" s="9">
        <v>5.0</v>
      </c>
      <c r="K97" s="9">
        <v>4.0</v>
      </c>
      <c r="L97" s="9">
        <v>4.0</v>
      </c>
      <c r="M97" s="9">
        <v>4.0</v>
      </c>
      <c r="N97" s="9">
        <v>4.0</v>
      </c>
      <c r="O97" s="9">
        <v>5.0</v>
      </c>
      <c r="P97" s="9">
        <v>4.0</v>
      </c>
      <c r="Q97" s="9">
        <v>5.0</v>
      </c>
      <c r="R97" s="9" t="s">
        <v>27</v>
      </c>
      <c r="S97" s="10" t="s">
        <v>38</v>
      </c>
    </row>
    <row r="98">
      <c r="A98" s="11">
        <v>45557.99492224537</v>
      </c>
      <c r="B98" s="12" t="s">
        <v>29</v>
      </c>
      <c r="C98" s="12" t="s">
        <v>34</v>
      </c>
      <c r="D98" s="12" t="s">
        <v>35</v>
      </c>
      <c r="E98" s="12" t="s">
        <v>22</v>
      </c>
      <c r="F98" s="12" t="s">
        <v>23</v>
      </c>
      <c r="G98" s="12" t="s">
        <v>41</v>
      </c>
      <c r="H98" s="12" t="s">
        <v>25</v>
      </c>
      <c r="I98" s="12" t="s">
        <v>32</v>
      </c>
      <c r="J98" s="12">
        <v>4.0</v>
      </c>
      <c r="K98" s="12">
        <v>5.0</v>
      </c>
      <c r="L98" s="12">
        <v>4.0</v>
      </c>
      <c r="M98" s="12">
        <v>4.0</v>
      </c>
      <c r="N98" s="12">
        <v>5.0</v>
      </c>
      <c r="O98" s="12">
        <v>3.0</v>
      </c>
      <c r="P98" s="12">
        <v>3.0</v>
      </c>
      <c r="Q98" s="12">
        <v>3.0</v>
      </c>
      <c r="R98" s="12" t="s">
        <v>27</v>
      </c>
      <c r="S98" s="13" t="s">
        <v>75</v>
      </c>
    </row>
    <row r="99">
      <c r="A99" s="8">
        <v>45557.99510667824</v>
      </c>
      <c r="B99" s="9" t="s">
        <v>29</v>
      </c>
      <c r="C99" s="9" t="s">
        <v>34</v>
      </c>
      <c r="D99" s="9" t="s">
        <v>35</v>
      </c>
      <c r="E99" s="9" t="s">
        <v>22</v>
      </c>
      <c r="F99" s="9" t="s">
        <v>40</v>
      </c>
      <c r="G99" s="9" t="s">
        <v>24</v>
      </c>
      <c r="H99" s="9" t="s">
        <v>37</v>
      </c>
      <c r="I99" s="9" t="s">
        <v>26</v>
      </c>
      <c r="J99" s="9">
        <v>4.0</v>
      </c>
      <c r="K99" s="9">
        <v>4.0</v>
      </c>
      <c r="L99" s="9">
        <v>4.0</v>
      </c>
      <c r="M99" s="9">
        <v>4.0</v>
      </c>
      <c r="N99" s="9">
        <v>4.0</v>
      </c>
      <c r="O99" s="9">
        <v>4.0</v>
      </c>
      <c r="P99" s="9">
        <v>4.0</v>
      </c>
      <c r="Q99" s="9">
        <v>4.0</v>
      </c>
      <c r="R99" s="9" t="s">
        <v>27</v>
      </c>
      <c r="S99" s="10" t="s">
        <v>75</v>
      </c>
    </row>
    <row r="100">
      <c r="A100" s="11">
        <v>45558.011161689814</v>
      </c>
      <c r="B100" s="12" t="s">
        <v>79</v>
      </c>
      <c r="C100" s="12" t="s">
        <v>34</v>
      </c>
      <c r="D100" s="12" t="s">
        <v>107</v>
      </c>
      <c r="E100" s="12" t="s">
        <v>69</v>
      </c>
      <c r="F100" s="12" t="s">
        <v>81</v>
      </c>
      <c r="G100" s="12" t="s">
        <v>108</v>
      </c>
      <c r="H100" s="12" t="s">
        <v>109</v>
      </c>
      <c r="I100" s="12" t="s">
        <v>32</v>
      </c>
      <c r="J100" s="12">
        <v>1.0</v>
      </c>
      <c r="K100" s="12">
        <v>1.0</v>
      </c>
      <c r="L100" s="12">
        <v>1.0</v>
      </c>
      <c r="M100" s="12">
        <v>1.0</v>
      </c>
      <c r="N100" s="12">
        <v>1.0</v>
      </c>
      <c r="O100" s="12">
        <v>1.0</v>
      </c>
      <c r="P100" s="12">
        <v>1.0</v>
      </c>
      <c r="Q100" s="12">
        <v>1.0</v>
      </c>
      <c r="R100" s="12" t="s">
        <v>82</v>
      </c>
      <c r="S100" s="13" t="s">
        <v>42</v>
      </c>
    </row>
    <row r="101">
      <c r="A101" s="8">
        <v>45558.01917625</v>
      </c>
      <c r="B101" s="9" t="s">
        <v>29</v>
      </c>
      <c r="C101" s="9" t="s">
        <v>34</v>
      </c>
      <c r="D101" s="9" t="s">
        <v>35</v>
      </c>
      <c r="E101" s="9" t="s">
        <v>22</v>
      </c>
      <c r="F101" s="9" t="s">
        <v>40</v>
      </c>
      <c r="G101" s="9" t="s">
        <v>41</v>
      </c>
      <c r="H101" s="9" t="s">
        <v>25</v>
      </c>
      <c r="I101" s="9" t="s">
        <v>32</v>
      </c>
      <c r="J101" s="9">
        <v>5.0</v>
      </c>
      <c r="K101" s="9">
        <v>5.0</v>
      </c>
      <c r="L101" s="9">
        <v>3.0</v>
      </c>
      <c r="M101" s="9">
        <v>4.0</v>
      </c>
      <c r="N101" s="9">
        <v>5.0</v>
      </c>
      <c r="O101" s="9">
        <v>3.0</v>
      </c>
      <c r="P101" s="9">
        <v>3.0</v>
      </c>
      <c r="Q101" s="9">
        <v>4.0</v>
      </c>
      <c r="R101" s="9" t="s">
        <v>27</v>
      </c>
      <c r="S101" s="10" t="s">
        <v>42</v>
      </c>
    </row>
    <row r="102">
      <c r="A102" s="11">
        <v>45558.03311769676</v>
      </c>
      <c r="B102" s="12" t="s">
        <v>29</v>
      </c>
      <c r="C102" s="12" t="s">
        <v>34</v>
      </c>
      <c r="D102" s="12" t="s">
        <v>35</v>
      </c>
      <c r="E102" s="12" t="s">
        <v>22</v>
      </c>
      <c r="F102" s="12" t="s">
        <v>23</v>
      </c>
      <c r="G102" s="12" t="s">
        <v>110</v>
      </c>
      <c r="H102" s="12" t="s">
        <v>37</v>
      </c>
      <c r="I102" s="12" t="s">
        <v>32</v>
      </c>
      <c r="J102" s="12">
        <v>3.0</v>
      </c>
      <c r="K102" s="12">
        <v>4.0</v>
      </c>
      <c r="L102" s="12">
        <v>5.0</v>
      </c>
      <c r="M102" s="12">
        <v>5.0</v>
      </c>
      <c r="N102" s="12">
        <v>4.0</v>
      </c>
      <c r="O102" s="12">
        <v>4.0</v>
      </c>
      <c r="P102" s="12">
        <v>2.0</v>
      </c>
      <c r="Q102" s="12">
        <v>4.0</v>
      </c>
      <c r="R102" s="12" t="s">
        <v>27</v>
      </c>
      <c r="S102" s="13" t="s">
        <v>75</v>
      </c>
    </row>
    <row r="103">
      <c r="A103" s="8">
        <v>45558.03321159723</v>
      </c>
      <c r="B103" s="9" t="s">
        <v>19</v>
      </c>
      <c r="C103" s="9" t="s">
        <v>34</v>
      </c>
      <c r="D103" s="9" t="s">
        <v>35</v>
      </c>
      <c r="E103" s="9" t="s">
        <v>22</v>
      </c>
      <c r="F103" s="9" t="s">
        <v>23</v>
      </c>
      <c r="G103" s="9" t="s">
        <v>63</v>
      </c>
      <c r="H103" s="9" t="s">
        <v>111</v>
      </c>
      <c r="I103" s="9" t="s">
        <v>26</v>
      </c>
      <c r="J103" s="9">
        <v>5.0</v>
      </c>
      <c r="K103" s="9">
        <v>4.0</v>
      </c>
      <c r="L103" s="9">
        <v>4.0</v>
      </c>
      <c r="M103" s="9">
        <v>5.0</v>
      </c>
      <c r="N103" s="9">
        <v>5.0</v>
      </c>
      <c r="O103" s="9">
        <v>5.0</v>
      </c>
      <c r="P103" s="9">
        <v>3.0</v>
      </c>
      <c r="Q103" s="9">
        <v>4.0</v>
      </c>
      <c r="R103" s="9" t="s">
        <v>27</v>
      </c>
      <c r="S103" s="10" t="s">
        <v>46</v>
      </c>
    </row>
    <row r="104">
      <c r="A104" s="11">
        <v>45558.03981194444</v>
      </c>
      <c r="B104" s="12" t="s">
        <v>29</v>
      </c>
      <c r="C104" s="12" t="s">
        <v>34</v>
      </c>
      <c r="D104" s="12" t="s">
        <v>35</v>
      </c>
      <c r="E104" s="12" t="s">
        <v>22</v>
      </c>
      <c r="F104" s="12" t="s">
        <v>53</v>
      </c>
      <c r="G104" s="12" t="s">
        <v>24</v>
      </c>
      <c r="H104" s="12" t="s">
        <v>112</v>
      </c>
      <c r="I104" s="12" t="s">
        <v>26</v>
      </c>
      <c r="J104" s="12">
        <v>4.0</v>
      </c>
      <c r="K104" s="12">
        <v>4.0</v>
      </c>
      <c r="L104" s="12">
        <v>3.0</v>
      </c>
      <c r="M104" s="12">
        <v>4.0</v>
      </c>
      <c r="N104" s="12">
        <v>4.0</v>
      </c>
      <c r="O104" s="12">
        <v>4.0</v>
      </c>
      <c r="P104" s="12">
        <v>1.0</v>
      </c>
      <c r="Q104" s="12">
        <v>3.0</v>
      </c>
      <c r="R104" s="12" t="s">
        <v>27</v>
      </c>
      <c r="S104" s="13" t="s">
        <v>46</v>
      </c>
    </row>
    <row r="105">
      <c r="A105" s="8">
        <v>45558.043865405096</v>
      </c>
      <c r="B105" s="9" t="s">
        <v>29</v>
      </c>
      <c r="C105" s="9" t="s">
        <v>20</v>
      </c>
      <c r="D105" s="9" t="s">
        <v>35</v>
      </c>
      <c r="E105" s="9" t="s">
        <v>22</v>
      </c>
      <c r="F105" s="9" t="s">
        <v>23</v>
      </c>
      <c r="G105" s="9" t="s">
        <v>36</v>
      </c>
      <c r="H105" s="9" t="s">
        <v>25</v>
      </c>
      <c r="I105" s="9" t="s">
        <v>26</v>
      </c>
      <c r="J105" s="9">
        <v>5.0</v>
      </c>
      <c r="K105" s="9">
        <v>5.0</v>
      </c>
      <c r="L105" s="9">
        <v>5.0</v>
      </c>
      <c r="M105" s="9">
        <v>5.0</v>
      </c>
      <c r="N105" s="9">
        <v>5.0</v>
      </c>
      <c r="O105" s="9">
        <v>5.0</v>
      </c>
      <c r="P105" s="9">
        <v>5.0</v>
      </c>
      <c r="Q105" s="9">
        <v>3.0</v>
      </c>
      <c r="R105" s="9" t="s">
        <v>27</v>
      </c>
      <c r="S105" s="10" t="s">
        <v>33</v>
      </c>
    </row>
    <row r="106">
      <c r="A106" s="11">
        <v>45558.05100885416</v>
      </c>
      <c r="B106" s="12" t="s">
        <v>29</v>
      </c>
      <c r="C106" s="12" t="s">
        <v>34</v>
      </c>
      <c r="D106" s="12" t="s">
        <v>67</v>
      </c>
      <c r="E106" s="12" t="s">
        <v>22</v>
      </c>
      <c r="F106" s="12" t="s">
        <v>40</v>
      </c>
      <c r="G106" s="12" t="s">
        <v>24</v>
      </c>
      <c r="H106" s="12" t="s">
        <v>25</v>
      </c>
      <c r="I106" s="12" t="s">
        <v>32</v>
      </c>
      <c r="J106" s="12">
        <v>5.0</v>
      </c>
      <c r="K106" s="12">
        <v>5.0</v>
      </c>
      <c r="L106" s="12">
        <v>5.0</v>
      </c>
      <c r="M106" s="12">
        <v>5.0</v>
      </c>
      <c r="N106" s="12">
        <v>5.0</v>
      </c>
      <c r="O106" s="12">
        <v>5.0</v>
      </c>
      <c r="P106" s="12">
        <v>3.0</v>
      </c>
      <c r="Q106" s="12">
        <v>5.0</v>
      </c>
      <c r="R106" s="12" t="s">
        <v>27</v>
      </c>
      <c r="S106" s="13" t="s">
        <v>33</v>
      </c>
    </row>
    <row r="107">
      <c r="A107" s="8">
        <v>45558.16710619213</v>
      </c>
      <c r="B107" s="9" t="s">
        <v>29</v>
      </c>
      <c r="C107" s="9" t="s">
        <v>20</v>
      </c>
      <c r="D107" s="9" t="s">
        <v>43</v>
      </c>
      <c r="E107" s="9" t="s">
        <v>22</v>
      </c>
      <c r="F107" s="9" t="s">
        <v>23</v>
      </c>
      <c r="G107" s="9" t="s">
        <v>36</v>
      </c>
      <c r="H107" s="9" t="s">
        <v>25</v>
      </c>
      <c r="I107" s="9" t="s">
        <v>32</v>
      </c>
      <c r="J107" s="9">
        <v>4.0</v>
      </c>
      <c r="K107" s="9">
        <v>5.0</v>
      </c>
      <c r="L107" s="9">
        <v>4.0</v>
      </c>
      <c r="M107" s="9">
        <v>5.0</v>
      </c>
      <c r="N107" s="9">
        <v>5.0</v>
      </c>
      <c r="O107" s="9">
        <v>5.0</v>
      </c>
      <c r="P107" s="9">
        <v>1.0</v>
      </c>
      <c r="Q107" s="9">
        <v>5.0</v>
      </c>
      <c r="R107" s="9" t="s">
        <v>48</v>
      </c>
      <c r="S107" s="10" t="s">
        <v>33</v>
      </c>
    </row>
    <row r="108">
      <c r="A108" s="11">
        <v>45558.20652416667</v>
      </c>
      <c r="B108" s="12" t="s">
        <v>29</v>
      </c>
      <c r="C108" s="12" t="s">
        <v>20</v>
      </c>
      <c r="D108" s="12" t="s">
        <v>59</v>
      </c>
      <c r="E108" s="12" t="s">
        <v>22</v>
      </c>
      <c r="F108" s="12" t="s">
        <v>40</v>
      </c>
      <c r="G108" s="12" t="s">
        <v>41</v>
      </c>
      <c r="H108" s="12" t="s">
        <v>25</v>
      </c>
      <c r="I108" s="12" t="s">
        <v>32</v>
      </c>
      <c r="J108" s="12">
        <v>4.0</v>
      </c>
      <c r="K108" s="12">
        <v>4.0</v>
      </c>
      <c r="L108" s="12">
        <v>4.0</v>
      </c>
      <c r="M108" s="12">
        <v>4.0</v>
      </c>
      <c r="N108" s="12">
        <v>4.0</v>
      </c>
      <c r="O108" s="12">
        <v>4.0</v>
      </c>
      <c r="P108" s="12">
        <v>2.0</v>
      </c>
      <c r="Q108" s="12">
        <v>3.0</v>
      </c>
      <c r="R108" s="12" t="s">
        <v>48</v>
      </c>
      <c r="S108" s="13" t="s">
        <v>46</v>
      </c>
    </row>
    <row r="109">
      <c r="A109" s="8">
        <v>45558.21408513889</v>
      </c>
      <c r="B109" s="9" t="s">
        <v>19</v>
      </c>
      <c r="C109" s="9" t="s">
        <v>20</v>
      </c>
      <c r="D109" s="9" t="s">
        <v>99</v>
      </c>
      <c r="E109" s="9" t="s">
        <v>22</v>
      </c>
      <c r="F109" s="9" t="s">
        <v>40</v>
      </c>
      <c r="G109" s="9" t="s">
        <v>41</v>
      </c>
      <c r="I109" s="9" t="s">
        <v>32</v>
      </c>
      <c r="J109" s="9">
        <v>3.0</v>
      </c>
      <c r="K109" s="9">
        <v>3.0</v>
      </c>
      <c r="L109" s="9">
        <v>2.0</v>
      </c>
      <c r="M109" s="9">
        <v>3.0</v>
      </c>
      <c r="N109" s="9">
        <v>3.0</v>
      </c>
      <c r="O109" s="9">
        <v>3.0</v>
      </c>
      <c r="P109" s="9">
        <v>1.0</v>
      </c>
      <c r="Q109" s="9">
        <v>3.0</v>
      </c>
      <c r="R109" s="9" t="s">
        <v>27</v>
      </c>
      <c r="S109" s="10" t="s">
        <v>42</v>
      </c>
    </row>
    <row r="110">
      <c r="A110" s="11">
        <v>45558.24589071759</v>
      </c>
      <c r="B110" s="12" t="s">
        <v>29</v>
      </c>
      <c r="C110" s="12" t="s">
        <v>34</v>
      </c>
      <c r="D110" s="12" t="s">
        <v>59</v>
      </c>
      <c r="E110" s="12" t="s">
        <v>22</v>
      </c>
      <c r="F110" s="12" t="s">
        <v>23</v>
      </c>
      <c r="G110" s="12" t="s">
        <v>24</v>
      </c>
      <c r="H110" s="12" t="s">
        <v>25</v>
      </c>
      <c r="I110" s="12" t="s">
        <v>26</v>
      </c>
      <c r="J110" s="12">
        <v>4.0</v>
      </c>
      <c r="K110" s="12">
        <v>4.0</v>
      </c>
      <c r="L110" s="12">
        <v>4.0</v>
      </c>
      <c r="M110" s="12">
        <v>5.0</v>
      </c>
      <c r="N110" s="12">
        <v>5.0</v>
      </c>
      <c r="O110" s="12">
        <v>3.0</v>
      </c>
      <c r="P110" s="12">
        <v>3.0</v>
      </c>
      <c r="Q110" s="12">
        <v>4.0</v>
      </c>
      <c r="R110" s="12" t="s">
        <v>27</v>
      </c>
      <c r="S110" s="13" t="s">
        <v>46</v>
      </c>
    </row>
    <row r="111">
      <c r="A111" s="8">
        <v>45558.26609790509</v>
      </c>
      <c r="B111" s="9" t="s">
        <v>91</v>
      </c>
      <c r="C111" s="9" t="s">
        <v>34</v>
      </c>
      <c r="D111" s="9" t="s">
        <v>21</v>
      </c>
      <c r="E111" s="9" t="s">
        <v>69</v>
      </c>
      <c r="F111" s="9" t="s">
        <v>53</v>
      </c>
      <c r="G111" s="9" t="s">
        <v>51</v>
      </c>
      <c r="H111" s="9" t="s">
        <v>25</v>
      </c>
      <c r="I111" s="9" t="s">
        <v>26</v>
      </c>
      <c r="J111" s="9">
        <v>5.0</v>
      </c>
      <c r="K111" s="9">
        <v>5.0</v>
      </c>
      <c r="L111" s="9">
        <v>5.0</v>
      </c>
      <c r="M111" s="9">
        <v>5.0</v>
      </c>
      <c r="N111" s="9">
        <v>5.0</v>
      </c>
      <c r="O111" s="9">
        <v>5.0</v>
      </c>
      <c r="P111" s="9">
        <v>5.0</v>
      </c>
      <c r="Q111" s="9">
        <v>5.0</v>
      </c>
      <c r="R111" s="9" t="s">
        <v>57</v>
      </c>
      <c r="S111" s="10" t="s">
        <v>46</v>
      </c>
    </row>
    <row r="112">
      <c r="A112" s="11">
        <v>45558.281858877315</v>
      </c>
      <c r="B112" s="12" t="s">
        <v>29</v>
      </c>
      <c r="C112" s="12" t="s">
        <v>34</v>
      </c>
      <c r="D112" s="12" t="s">
        <v>113</v>
      </c>
      <c r="F112" s="12" t="s">
        <v>40</v>
      </c>
      <c r="G112" s="12" t="s">
        <v>51</v>
      </c>
      <c r="H112" s="12" t="s">
        <v>25</v>
      </c>
      <c r="I112" s="12" t="s">
        <v>26</v>
      </c>
      <c r="J112" s="12">
        <v>5.0</v>
      </c>
      <c r="K112" s="12">
        <v>4.0</v>
      </c>
      <c r="L112" s="12">
        <v>4.0</v>
      </c>
      <c r="M112" s="12">
        <v>5.0</v>
      </c>
      <c r="N112" s="12">
        <v>5.0</v>
      </c>
      <c r="O112" s="12">
        <v>4.0</v>
      </c>
      <c r="P112" s="12">
        <v>2.0</v>
      </c>
      <c r="Q112" s="12">
        <v>5.0</v>
      </c>
      <c r="R112" s="12" t="s">
        <v>48</v>
      </c>
      <c r="S112" s="13" t="s">
        <v>46</v>
      </c>
    </row>
    <row r="113">
      <c r="A113" s="8">
        <v>45558.287531724534</v>
      </c>
      <c r="B113" s="9" t="s">
        <v>29</v>
      </c>
      <c r="C113" s="9" t="s">
        <v>34</v>
      </c>
      <c r="D113" s="9" t="s">
        <v>35</v>
      </c>
      <c r="E113" s="9" t="s">
        <v>22</v>
      </c>
      <c r="F113" s="9" t="s">
        <v>53</v>
      </c>
      <c r="G113" s="9" t="s">
        <v>24</v>
      </c>
      <c r="H113" s="9" t="s">
        <v>25</v>
      </c>
      <c r="I113" s="9" t="s">
        <v>26</v>
      </c>
      <c r="J113" s="9">
        <v>4.0</v>
      </c>
      <c r="K113" s="9">
        <v>5.0</v>
      </c>
      <c r="L113" s="9">
        <v>3.0</v>
      </c>
      <c r="M113" s="9">
        <v>5.0</v>
      </c>
      <c r="N113" s="9">
        <v>5.0</v>
      </c>
      <c r="O113" s="9">
        <v>5.0</v>
      </c>
      <c r="P113" s="9">
        <v>1.0</v>
      </c>
      <c r="Q113" s="9">
        <v>5.0</v>
      </c>
      <c r="R113" s="9" t="s">
        <v>27</v>
      </c>
      <c r="S113" s="10" t="s">
        <v>42</v>
      </c>
    </row>
    <row r="114">
      <c r="A114" s="11">
        <v>45558.29523056713</v>
      </c>
      <c r="B114" s="12" t="s">
        <v>19</v>
      </c>
      <c r="C114" s="12" t="s">
        <v>34</v>
      </c>
      <c r="D114" s="12" t="s">
        <v>67</v>
      </c>
      <c r="E114" s="12" t="s">
        <v>22</v>
      </c>
      <c r="F114" s="12" t="s">
        <v>23</v>
      </c>
      <c r="G114" s="12" t="s">
        <v>41</v>
      </c>
      <c r="H114" s="12" t="s">
        <v>25</v>
      </c>
      <c r="I114" s="12" t="s">
        <v>32</v>
      </c>
      <c r="J114" s="12">
        <v>4.0</v>
      </c>
      <c r="K114" s="12">
        <v>5.0</v>
      </c>
      <c r="L114" s="12">
        <v>4.0</v>
      </c>
      <c r="M114" s="12">
        <v>5.0</v>
      </c>
      <c r="N114" s="12">
        <v>5.0</v>
      </c>
      <c r="O114" s="12">
        <v>5.0</v>
      </c>
      <c r="P114" s="12">
        <v>3.0</v>
      </c>
      <c r="Q114" s="12">
        <v>5.0</v>
      </c>
      <c r="R114" s="12" t="s">
        <v>27</v>
      </c>
      <c r="S114" s="13" t="s">
        <v>33</v>
      </c>
    </row>
    <row r="115">
      <c r="A115" s="8">
        <v>45558.295432430554</v>
      </c>
      <c r="B115" s="9" t="s">
        <v>19</v>
      </c>
      <c r="C115" s="9" t="s">
        <v>20</v>
      </c>
      <c r="D115" s="9" t="s">
        <v>21</v>
      </c>
      <c r="E115" s="9" t="s">
        <v>22</v>
      </c>
      <c r="F115" s="9" t="s">
        <v>53</v>
      </c>
      <c r="G115" s="9" t="s">
        <v>24</v>
      </c>
      <c r="H115" s="9" t="s">
        <v>114</v>
      </c>
      <c r="I115" s="9" t="s">
        <v>32</v>
      </c>
      <c r="J115" s="9">
        <v>4.0</v>
      </c>
      <c r="K115" s="9">
        <v>4.0</v>
      </c>
      <c r="L115" s="9">
        <v>3.0</v>
      </c>
      <c r="M115" s="9">
        <v>4.0</v>
      </c>
      <c r="N115" s="9">
        <v>3.0</v>
      </c>
      <c r="O115" s="9">
        <v>4.0</v>
      </c>
      <c r="P115" s="9">
        <v>1.0</v>
      </c>
      <c r="Q115" s="9">
        <v>3.0</v>
      </c>
    </row>
    <row r="116">
      <c r="A116" s="11">
        <v>45558.30025947916</v>
      </c>
      <c r="B116" s="12" t="s">
        <v>19</v>
      </c>
      <c r="C116" s="12" t="s">
        <v>34</v>
      </c>
      <c r="D116" s="12" t="s">
        <v>21</v>
      </c>
      <c r="E116" s="12" t="s">
        <v>22</v>
      </c>
      <c r="F116" s="12" t="s">
        <v>40</v>
      </c>
      <c r="G116" s="12" t="s">
        <v>36</v>
      </c>
      <c r="H116" s="12" t="s">
        <v>25</v>
      </c>
      <c r="I116" s="12" t="s">
        <v>32</v>
      </c>
      <c r="J116" s="12">
        <v>4.0</v>
      </c>
      <c r="K116" s="12">
        <v>4.0</v>
      </c>
      <c r="L116" s="12">
        <v>4.0</v>
      </c>
      <c r="M116" s="12">
        <v>5.0</v>
      </c>
      <c r="N116" s="12">
        <v>3.0</v>
      </c>
      <c r="O116" s="12">
        <v>4.0</v>
      </c>
      <c r="P116" s="12">
        <v>3.0</v>
      </c>
      <c r="Q116" s="12">
        <v>4.0</v>
      </c>
      <c r="R116" s="12" t="s">
        <v>27</v>
      </c>
      <c r="S116" s="13" t="s">
        <v>42</v>
      </c>
    </row>
    <row r="117">
      <c r="A117" s="8">
        <v>45558.301634814816</v>
      </c>
      <c r="B117" s="9" t="s">
        <v>29</v>
      </c>
      <c r="C117" s="9" t="s">
        <v>20</v>
      </c>
      <c r="D117" s="9" t="s">
        <v>115</v>
      </c>
      <c r="E117" s="9" t="s">
        <v>22</v>
      </c>
      <c r="F117" s="9" t="s">
        <v>40</v>
      </c>
      <c r="G117" s="9" t="s">
        <v>24</v>
      </c>
      <c r="H117" s="9" t="s">
        <v>25</v>
      </c>
      <c r="I117" s="9" t="s">
        <v>26</v>
      </c>
      <c r="J117" s="9">
        <v>4.0</v>
      </c>
      <c r="K117" s="9">
        <v>4.0</v>
      </c>
      <c r="L117" s="9">
        <v>3.0</v>
      </c>
      <c r="M117" s="9">
        <v>4.0</v>
      </c>
      <c r="N117" s="9">
        <v>5.0</v>
      </c>
      <c r="O117" s="9">
        <v>3.0</v>
      </c>
      <c r="P117" s="9">
        <v>2.0</v>
      </c>
      <c r="Q117" s="9">
        <v>3.0</v>
      </c>
      <c r="R117" s="9" t="s">
        <v>27</v>
      </c>
      <c r="S117" s="10" t="s">
        <v>42</v>
      </c>
    </row>
    <row r="118">
      <c r="A118" s="11">
        <v>45558.31977119213</v>
      </c>
      <c r="B118" s="12" t="s">
        <v>29</v>
      </c>
      <c r="C118" s="12" t="s">
        <v>20</v>
      </c>
      <c r="D118" s="12" t="s">
        <v>21</v>
      </c>
      <c r="E118" s="12" t="s">
        <v>22</v>
      </c>
      <c r="F118" s="12" t="s">
        <v>23</v>
      </c>
      <c r="G118" s="12" t="s">
        <v>24</v>
      </c>
      <c r="H118" s="12" t="s">
        <v>25</v>
      </c>
      <c r="I118" s="12" t="s">
        <v>26</v>
      </c>
      <c r="J118" s="12">
        <v>4.0</v>
      </c>
      <c r="K118" s="12">
        <v>4.0</v>
      </c>
      <c r="L118" s="12">
        <v>5.0</v>
      </c>
      <c r="M118" s="12">
        <v>4.0</v>
      </c>
      <c r="N118" s="12">
        <v>5.0</v>
      </c>
      <c r="O118" s="12">
        <v>5.0</v>
      </c>
      <c r="P118" s="12">
        <v>4.0</v>
      </c>
      <c r="Q118" s="12">
        <v>4.0</v>
      </c>
      <c r="R118" s="12" t="s">
        <v>27</v>
      </c>
      <c r="S118" s="13" t="s">
        <v>42</v>
      </c>
    </row>
    <row r="119">
      <c r="A119" s="8">
        <v>45558.32578085648</v>
      </c>
      <c r="B119" s="9" t="s">
        <v>29</v>
      </c>
      <c r="C119" s="9" t="s">
        <v>34</v>
      </c>
      <c r="D119" s="9" t="s">
        <v>35</v>
      </c>
      <c r="E119" s="9" t="s">
        <v>22</v>
      </c>
      <c r="F119" s="9" t="s">
        <v>53</v>
      </c>
      <c r="G119" s="9" t="s">
        <v>36</v>
      </c>
      <c r="H119" s="9" t="s">
        <v>25</v>
      </c>
      <c r="I119" s="9" t="s">
        <v>32</v>
      </c>
      <c r="J119" s="9">
        <v>4.0</v>
      </c>
      <c r="K119" s="9">
        <v>2.0</v>
      </c>
      <c r="L119" s="9">
        <v>2.0</v>
      </c>
      <c r="M119" s="9">
        <v>4.0</v>
      </c>
      <c r="N119" s="9">
        <v>4.0</v>
      </c>
      <c r="O119" s="9">
        <v>1.0</v>
      </c>
      <c r="P119" s="9">
        <v>2.0</v>
      </c>
      <c r="Q119" s="9">
        <v>4.0</v>
      </c>
      <c r="R119" s="9" t="s">
        <v>48</v>
      </c>
      <c r="S119" s="10" t="s">
        <v>46</v>
      </c>
    </row>
    <row r="120">
      <c r="A120" s="11">
        <v>45558.336016643516</v>
      </c>
      <c r="B120" s="12" t="s">
        <v>29</v>
      </c>
      <c r="C120" s="12" t="s">
        <v>34</v>
      </c>
      <c r="D120" s="12" t="s">
        <v>116</v>
      </c>
      <c r="E120" s="12" t="s">
        <v>22</v>
      </c>
      <c r="F120" s="12" t="s">
        <v>53</v>
      </c>
      <c r="G120" s="12" t="s">
        <v>51</v>
      </c>
      <c r="H120" s="12" t="s">
        <v>117</v>
      </c>
      <c r="I120" s="12" t="s">
        <v>26</v>
      </c>
      <c r="J120" s="12">
        <v>4.0</v>
      </c>
      <c r="K120" s="12">
        <v>4.0</v>
      </c>
      <c r="L120" s="12">
        <v>2.0</v>
      </c>
      <c r="M120" s="12">
        <v>4.0</v>
      </c>
      <c r="N120" s="12">
        <v>3.0</v>
      </c>
      <c r="O120" s="12">
        <v>3.0</v>
      </c>
      <c r="P120" s="12">
        <v>1.0</v>
      </c>
      <c r="Q120" s="12">
        <v>2.0</v>
      </c>
      <c r="R120" s="12" t="s">
        <v>27</v>
      </c>
      <c r="S120" s="13" t="s">
        <v>42</v>
      </c>
    </row>
    <row r="121">
      <c r="A121" s="8">
        <v>45558.3499825926</v>
      </c>
      <c r="B121" s="9" t="s">
        <v>29</v>
      </c>
      <c r="C121" s="9" t="s">
        <v>20</v>
      </c>
      <c r="D121" s="9" t="s">
        <v>59</v>
      </c>
      <c r="E121" s="9" t="s">
        <v>22</v>
      </c>
      <c r="F121" s="9" t="s">
        <v>23</v>
      </c>
      <c r="G121" s="9" t="s">
        <v>36</v>
      </c>
      <c r="H121" s="9" t="s">
        <v>25</v>
      </c>
      <c r="I121" s="9" t="s">
        <v>26</v>
      </c>
      <c r="J121" s="9">
        <v>4.0</v>
      </c>
      <c r="K121" s="9">
        <v>5.0</v>
      </c>
      <c r="L121" s="9">
        <v>3.0</v>
      </c>
      <c r="M121" s="9">
        <v>4.0</v>
      </c>
      <c r="N121" s="9">
        <v>4.0</v>
      </c>
      <c r="O121" s="9">
        <v>4.0</v>
      </c>
      <c r="P121" s="9">
        <v>2.0</v>
      </c>
      <c r="Q121" s="9">
        <v>5.0</v>
      </c>
      <c r="R121" s="9" t="s">
        <v>27</v>
      </c>
      <c r="S121" s="10" t="s">
        <v>33</v>
      </c>
    </row>
    <row r="122">
      <c r="A122" s="11">
        <v>45558.36518130787</v>
      </c>
      <c r="B122" s="12" t="s">
        <v>29</v>
      </c>
      <c r="C122" s="12" t="s">
        <v>34</v>
      </c>
      <c r="D122" s="12" t="s">
        <v>35</v>
      </c>
      <c r="E122" s="12" t="s">
        <v>22</v>
      </c>
      <c r="F122" s="12" t="s">
        <v>53</v>
      </c>
      <c r="G122" s="12" t="s">
        <v>41</v>
      </c>
      <c r="H122" s="12" t="s">
        <v>25</v>
      </c>
      <c r="I122" s="12" t="s">
        <v>32</v>
      </c>
      <c r="J122" s="12">
        <v>5.0</v>
      </c>
      <c r="K122" s="12">
        <v>5.0</v>
      </c>
      <c r="L122" s="12">
        <v>4.0</v>
      </c>
      <c r="M122" s="12">
        <v>5.0</v>
      </c>
      <c r="N122" s="12">
        <v>5.0</v>
      </c>
      <c r="O122" s="12">
        <v>1.0</v>
      </c>
      <c r="P122" s="12">
        <v>2.0</v>
      </c>
      <c r="Q122" s="12">
        <v>5.0</v>
      </c>
      <c r="R122" s="12" t="s">
        <v>48</v>
      </c>
      <c r="S122" s="13" t="s">
        <v>46</v>
      </c>
    </row>
    <row r="123">
      <c r="A123" s="8">
        <v>45558.36803038194</v>
      </c>
      <c r="B123" s="9" t="s">
        <v>19</v>
      </c>
      <c r="C123" s="9" t="s">
        <v>34</v>
      </c>
      <c r="D123" s="9" t="s">
        <v>35</v>
      </c>
      <c r="E123" s="9" t="s">
        <v>22</v>
      </c>
      <c r="F123" s="9" t="s">
        <v>40</v>
      </c>
      <c r="G123" s="9" t="s">
        <v>41</v>
      </c>
      <c r="H123" s="9" t="s">
        <v>25</v>
      </c>
      <c r="I123" s="9" t="s">
        <v>26</v>
      </c>
      <c r="J123" s="9">
        <v>4.0</v>
      </c>
      <c r="K123" s="9">
        <v>4.0</v>
      </c>
      <c r="L123" s="9">
        <v>3.0</v>
      </c>
      <c r="M123" s="9">
        <v>5.0</v>
      </c>
      <c r="N123" s="9">
        <v>4.0</v>
      </c>
      <c r="O123" s="9">
        <v>5.0</v>
      </c>
      <c r="P123" s="9">
        <v>2.0</v>
      </c>
      <c r="R123" s="9" t="s">
        <v>27</v>
      </c>
      <c r="S123" s="10" t="s">
        <v>38</v>
      </c>
      <c r="U123" s="14">
        <f>COUNTIF(#REF!, "менее 5%")/124</f>
        <v>0</v>
      </c>
    </row>
    <row r="124">
      <c r="A124" s="11">
        <v>45558.394847187505</v>
      </c>
      <c r="B124" s="12" t="s">
        <v>29</v>
      </c>
      <c r="E124" s="12" t="s">
        <v>22</v>
      </c>
      <c r="F124" s="12" t="s">
        <v>53</v>
      </c>
      <c r="G124" s="12" t="s">
        <v>36</v>
      </c>
      <c r="H124" s="12" t="s">
        <v>25</v>
      </c>
      <c r="I124" s="12" t="s">
        <v>32</v>
      </c>
      <c r="J124" s="12">
        <v>3.0</v>
      </c>
      <c r="L124" s="12">
        <v>3.0</v>
      </c>
      <c r="M124" s="12">
        <v>3.0</v>
      </c>
      <c r="P124" s="12">
        <v>1.0</v>
      </c>
      <c r="Q124" s="12">
        <v>2.0</v>
      </c>
      <c r="R124" s="12" t="s">
        <v>27</v>
      </c>
      <c r="S124" s="13" t="s">
        <v>42</v>
      </c>
    </row>
    <row r="125">
      <c r="A125" s="8">
        <v>45558.416916608796</v>
      </c>
      <c r="B125" s="9" t="s">
        <v>29</v>
      </c>
      <c r="C125" s="9" t="s">
        <v>34</v>
      </c>
      <c r="D125" s="9" t="s">
        <v>35</v>
      </c>
      <c r="E125" s="9" t="s">
        <v>22</v>
      </c>
      <c r="F125" s="9" t="s">
        <v>23</v>
      </c>
      <c r="G125" s="9" t="s">
        <v>24</v>
      </c>
      <c r="H125" s="9" t="s">
        <v>118</v>
      </c>
      <c r="I125" s="9" t="s">
        <v>32</v>
      </c>
      <c r="J125" s="9">
        <v>3.0</v>
      </c>
      <c r="K125" s="9">
        <v>3.0</v>
      </c>
      <c r="L125" s="9">
        <v>4.0</v>
      </c>
      <c r="M125" s="9">
        <v>3.0</v>
      </c>
      <c r="N125" s="9">
        <v>4.0</v>
      </c>
      <c r="O125" s="9">
        <v>4.0</v>
      </c>
      <c r="P125" s="9">
        <v>4.0</v>
      </c>
      <c r="Q125" s="9">
        <v>4.0</v>
      </c>
      <c r="R125" s="9" t="s">
        <v>27</v>
      </c>
      <c r="S125" s="10" t="s">
        <v>75</v>
      </c>
    </row>
    <row r="126">
      <c r="A126" s="11">
        <v>45558.448114548606</v>
      </c>
      <c r="B126" s="12" t="s">
        <v>29</v>
      </c>
      <c r="C126" s="12" t="s">
        <v>34</v>
      </c>
      <c r="D126" s="12" t="s">
        <v>35</v>
      </c>
      <c r="E126" s="12" t="s">
        <v>22</v>
      </c>
      <c r="F126" s="12" t="s">
        <v>40</v>
      </c>
      <c r="G126" s="12" t="s">
        <v>51</v>
      </c>
      <c r="H126" s="12" t="s">
        <v>25</v>
      </c>
      <c r="I126" s="12" t="s">
        <v>32</v>
      </c>
      <c r="J126" s="12">
        <v>4.0</v>
      </c>
      <c r="K126" s="12">
        <v>4.0</v>
      </c>
      <c r="L126" s="12">
        <v>4.0</v>
      </c>
      <c r="M126" s="12">
        <v>5.0</v>
      </c>
      <c r="N126" s="12">
        <v>3.0</v>
      </c>
      <c r="O126" s="12">
        <v>3.0</v>
      </c>
      <c r="P126" s="12">
        <v>4.0</v>
      </c>
      <c r="Q126" s="12">
        <v>5.0</v>
      </c>
      <c r="R126" s="12" t="s">
        <v>48</v>
      </c>
      <c r="S126" s="13" t="s">
        <v>42</v>
      </c>
    </row>
    <row r="127">
      <c r="A127" s="8">
        <v>45558.45627246528</v>
      </c>
      <c r="B127" s="9" t="s">
        <v>19</v>
      </c>
      <c r="C127" s="9" t="s">
        <v>34</v>
      </c>
      <c r="D127" s="9" t="s">
        <v>119</v>
      </c>
      <c r="E127" s="9" t="s">
        <v>22</v>
      </c>
      <c r="F127" s="9" t="s">
        <v>23</v>
      </c>
      <c r="G127" s="9" t="s">
        <v>24</v>
      </c>
      <c r="H127" s="9" t="s">
        <v>25</v>
      </c>
      <c r="I127" s="9" t="s">
        <v>26</v>
      </c>
      <c r="J127" s="9">
        <v>5.0</v>
      </c>
      <c r="K127" s="9">
        <v>5.0</v>
      </c>
      <c r="L127" s="9">
        <v>5.0</v>
      </c>
      <c r="M127" s="9">
        <v>5.0</v>
      </c>
      <c r="N127" s="9">
        <v>5.0</v>
      </c>
      <c r="O127" s="9">
        <v>5.0</v>
      </c>
      <c r="P127" s="9">
        <v>5.0</v>
      </c>
      <c r="Q127" s="9">
        <v>5.0</v>
      </c>
      <c r="R127" s="9" t="s">
        <v>27</v>
      </c>
      <c r="S127" s="10" t="s">
        <v>46</v>
      </c>
    </row>
    <row r="128">
      <c r="A128" s="11">
        <v>45558.46926936343</v>
      </c>
      <c r="B128" s="12" t="s">
        <v>29</v>
      </c>
      <c r="C128" s="12" t="s">
        <v>20</v>
      </c>
      <c r="D128" s="12" t="s">
        <v>35</v>
      </c>
      <c r="E128" s="12" t="s">
        <v>22</v>
      </c>
      <c r="F128" s="12" t="s">
        <v>40</v>
      </c>
      <c r="G128" s="12" t="s">
        <v>36</v>
      </c>
      <c r="H128" s="12" t="s">
        <v>25</v>
      </c>
      <c r="I128" s="12" t="s">
        <v>32</v>
      </c>
      <c r="J128" s="12">
        <v>5.0</v>
      </c>
      <c r="K128" s="12">
        <v>4.0</v>
      </c>
      <c r="L128" s="12">
        <v>3.0</v>
      </c>
      <c r="M128" s="12">
        <v>5.0</v>
      </c>
      <c r="N128" s="12">
        <v>4.0</v>
      </c>
      <c r="O128" s="12">
        <v>3.0</v>
      </c>
      <c r="P128" s="12">
        <v>2.0</v>
      </c>
      <c r="Q128" s="12">
        <v>5.0</v>
      </c>
      <c r="R128" s="12" t="s">
        <v>27</v>
      </c>
      <c r="S128" s="13" t="s">
        <v>46</v>
      </c>
    </row>
    <row r="129">
      <c r="A129" s="8">
        <v>45558.47552876157</v>
      </c>
      <c r="B129" s="9" t="s">
        <v>19</v>
      </c>
      <c r="C129" s="9" t="s">
        <v>20</v>
      </c>
      <c r="D129" s="9" t="s">
        <v>35</v>
      </c>
      <c r="E129" s="9" t="s">
        <v>22</v>
      </c>
      <c r="F129" s="9" t="s">
        <v>40</v>
      </c>
      <c r="G129" s="9" t="s">
        <v>51</v>
      </c>
      <c r="H129" s="9" t="s">
        <v>25</v>
      </c>
      <c r="I129" s="9" t="s">
        <v>32</v>
      </c>
      <c r="J129" s="9">
        <v>4.0</v>
      </c>
      <c r="K129" s="9">
        <v>5.0</v>
      </c>
      <c r="L129" s="9">
        <v>2.0</v>
      </c>
      <c r="M129" s="9">
        <v>5.0</v>
      </c>
      <c r="N129" s="9">
        <v>3.0</v>
      </c>
      <c r="O129" s="9">
        <v>3.0</v>
      </c>
      <c r="P129" s="9">
        <v>3.0</v>
      </c>
      <c r="Q129" s="9">
        <v>4.0</v>
      </c>
      <c r="R129" s="9" t="s">
        <v>27</v>
      </c>
      <c r="S129" s="10" t="s">
        <v>33</v>
      </c>
    </row>
    <row r="130">
      <c r="A130" s="11">
        <v>45558.478557361115</v>
      </c>
      <c r="B130" s="12" t="s">
        <v>29</v>
      </c>
      <c r="C130" s="12" t="s">
        <v>34</v>
      </c>
      <c r="D130" s="12" t="s">
        <v>35</v>
      </c>
      <c r="E130" s="12" t="s">
        <v>22</v>
      </c>
      <c r="F130" s="12" t="s">
        <v>40</v>
      </c>
      <c r="G130" s="12" t="s">
        <v>36</v>
      </c>
      <c r="H130" s="12" t="s">
        <v>58</v>
      </c>
      <c r="I130" s="12" t="s">
        <v>32</v>
      </c>
      <c r="J130" s="12">
        <v>4.0</v>
      </c>
      <c r="K130" s="12">
        <v>3.0</v>
      </c>
      <c r="L130" s="12">
        <v>3.0</v>
      </c>
      <c r="M130" s="12">
        <v>4.0</v>
      </c>
      <c r="N130" s="12">
        <v>4.0</v>
      </c>
      <c r="O130" s="12">
        <v>3.0</v>
      </c>
      <c r="P130" s="12">
        <v>2.0</v>
      </c>
      <c r="Q130" s="12">
        <v>3.0</v>
      </c>
      <c r="R130" s="12" t="s">
        <v>27</v>
      </c>
      <c r="S130" s="13" t="s">
        <v>42</v>
      </c>
    </row>
    <row r="131">
      <c r="A131" s="8">
        <v>45558.488775081016</v>
      </c>
      <c r="B131" s="9" t="s">
        <v>79</v>
      </c>
      <c r="C131" s="9" t="s">
        <v>20</v>
      </c>
      <c r="D131" s="9">
        <v>52.0</v>
      </c>
      <c r="E131" s="9" t="s">
        <v>69</v>
      </c>
      <c r="F131" s="9" t="s">
        <v>81</v>
      </c>
      <c r="G131" s="9" t="s">
        <v>120</v>
      </c>
      <c r="H131" s="9" t="s">
        <v>121</v>
      </c>
      <c r="I131" s="9" t="s">
        <v>26</v>
      </c>
      <c r="J131" s="9">
        <v>4.0</v>
      </c>
      <c r="K131" s="9">
        <v>1.0</v>
      </c>
      <c r="L131" s="9">
        <v>1.0</v>
      </c>
      <c r="M131" s="9">
        <v>3.0</v>
      </c>
      <c r="N131" s="9">
        <v>4.0</v>
      </c>
      <c r="O131" s="9">
        <v>3.0</v>
      </c>
      <c r="P131" s="9">
        <v>2.0</v>
      </c>
      <c r="Q131" s="9">
        <v>3.0</v>
      </c>
      <c r="R131" s="9" t="s">
        <v>82</v>
      </c>
      <c r="S131" s="10" t="s">
        <v>71</v>
      </c>
    </row>
    <row r="132">
      <c r="A132" s="11">
        <v>45558.51398116898</v>
      </c>
      <c r="B132" s="12" t="s">
        <v>19</v>
      </c>
      <c r="C132" s="12" t="s">
        <v>20</v>
      </c>
      <c r="D132" s="12" t="s">
        <v>21</v>
      </c>
      <c r="E132" s="12" t="s">
        <v>22</v>
      </c>
      <c r="F132" s="12" t="s">
        <v>40</v>
      </c>
      <c r="G132" s="12" t="s">
        <v>24</v>
      </c>
      <c r="H132" s="12" t="s">
        <v>25</v>
      </c>
      <c r="I132" s="12" t="s">
        <v>32</v>
      </c>
      <c r="J132" s="12">
        <v>3.0</v>
      </c>
      <c r="K132" s="12">
        <v>5.0</v>
      </c>
      <c r="L132" s="12">
        <v>4.0</v>
      </c>
      <c r="M132" s="12">
        <v>4.0</v>
      </c>
      <c r="N132" s="12">
        <v>4.0</v>
      </c>
      <c r="O132" s="12">
        <v>5.0</v>
      </c>
      <c r="P132" s="12">
        <v>2.0</v>
      </c>
      <c r="Q132" s="12">
        <v>4.0</v>
      </c>
      <c r="R132" s="12" t="s">
        <v>27</v>
      </c>
      <c r="S132" s="13" t="s">
        <v>42</v>
      </c>
    </row>
    <row r="133">
      <c r="A133" s="8">
        <v>45558.554534282404</v>
      </c>
      <c r="B133" s="9" t="s">
        <v>29</v>
      </c>
      <c r="C133" s="9" t="s">
        <v>34</v>
      </c>
      <c r="D133" s="9" t="s">
        <v>35</v>
      </c>
      <c r="E133" s="9" t="s">
        <v>22</v>
      </c>
      <c r="F133" s="9" t="s">
        <v>23</v>
      </c>
      <c r="G133" s="9" t="s">
        <v>36</v>
      </c>
      <c r="H133" s="9" t="s">
        <v>25</v>
      </c>
      <c r="I133" s="9" t="s">
        <v>32</v>
      </c>
      <c r="J133" s="9">
        <v>5.0</v>
      </c>
      <c r="K133" s="9">
        <v>5.0</v>
      </c>
      <c r="L133" s="9">
        <v>5.0</v>
      </c>
      <c r="M133" s="9">
        <v>5.0</v>
      </c>
      <c r="N133" s="9">
        <v>4.0</v>
      </c>
      <c r="O133" s="9">
        <v>4.0</v>
      </c>
      <c r="P133" s="9">
        <v>4.0</v>
      </c>
      <c r="Q133" s="9">
        <v>5.0</v>
      </c>
      <c r="R133" s="9" t="s">
        <v>27</v>
      </c>
      <c r="S133" s="10" t="s">
        <v>46</v>
      </c>
    </row>
    <row r="134">
      <c r="A134" s="11">
        <v>45558.57566259259</v>
      </c>
      <c r="B134" s="12" t="s">
        <v>91</v>
      </c>
      <c r="C134" s="12" t="s">
        <v>34</v>
      </c>
      <c r="D134" s="12" t="s">
        <v>99</v>
      </c>
      <c r="E134" s="12" t="s">
        <v>69</v>
      </c>
      <c r="F134" s="12" t="s">
        <v>53</v>
      </c>
      <c r="G134" s="12" t="s">
        <v>24</v>
      </c>
      <c r="H134" s="12" t="s">
        <v>25</v>
      </c>
      <c r="I134" s="12" t="s">
        <v>87</v>
      </c>
      <c r="J134" s="12">
        <v>5.0</v>
      </c>
      <c r="K134" s="12">
        <v>5.0</v>
      </c>
      <c r="L134" s="12">
        <v>5.0</v>
      </c>
      <c r="M134" s="12">
        <v>5.0</v>
      </c>
      <c r="N134" s="12">
        <v>5.0</v>
      </c>
      <c r="O134" s="12">
        <v>4.0</v>
      </c>
      <c r="P134" s="12">
        <v>4.0</v>
      </c>
      <c r="Q134" s="12">
        <v>5.0</v>
      </c>
      <c r="R134" s="12" t="s">
        <v>48</v>
      </c>
      <c r="S134" s="13" t="s">
        <v>42</v>
      </c>
    </row>
    <row r="135">
      <c r="A135" s="8">
        <v>45558.577476226856</v>
      </c>
      <c r="B135" s="9" t="s">
        <v>19</v>
      </c>
      <c r="C135" s="9" t="s">
        <v>34</v>
      </c>
      <c r="D135" s="9" t="s">
        <v>122</v>
      </c>
      <c r="E135" s="9" t="s">
        <v>22</v>
      </c>
      <c r="F135" s="9" t="s">
        <v>40</v>
      </c>
      <c r="G135" s="9" t="s">
        <v>41</v>
      </c>
      <c r="H135" s="9" t="s">
        <v>25</v>
      </c>
      <c r="I135" s="9" t="s">
        <v>26</v>
      </c>
      <c r="J135" s="9">
        <v>3.0</v>
      </c>
      <c r="K135" s="9">
        <v>4.0</v>
      </c>
      <c r="L135" s="9">
        <v>4.0</v>
      </c>
      <c r="M135" s="9">
        <v>4.0</v>
      </c>
      <c r="N135" s="9">
        <v>4.0</v>
      </c>
      <c r="O135" s="9">
        <v>4.0</v>
      </c>
      <c r="P135" s="9">
        <v>2.0</v>
      </c>
      <c r="Q135" s="9">
        <v>3.0</v>
      </c>
      <c r="R135" s="9" t="s">
        <v>27</v>
      </c>
      <c r="S135" s="10" t="s">
        <v>38</v>
      </c>
    </row>
    <row r="136">
      <c r="A136" s="11">
        <v>45558.586262199075</v>
      </c>
      <c r="B136" s="12" t="s">
        <v>19</v>
      </c>
      <c r="C136" s="12" t="s">
        <v>20</v>
      </c>
      <c r="D136" s="12" t="s">
        <v>21</v>
      </c>
      <c r="E136" s="12" t="s">
        <v>22</v>
      </c>
      <c r="F136" s="12" t="s">
        <v>40</v>
      </c>
      <c r="G136" s="12" t="s">
        <v>24</v>
      </c>
      <c r="H136" s="12" t="s">
        <v>123</v>
      </c>
      <c r="I136" s="12" t="s">
        <v>26</v>
      </c>
      <c r="J136" s="12">
        <v>4.0</v>
      </c>
      <c r="L136" s="12">
        <v>4.0</v>
      </c>
      <c r="M136" s="12">
        <v>3.0</v>
      </c>
      <c r="P136" s="12">
        <v>1.0</v>
      </c>
      <c r="R136" s="12" t="s">
        <v>27</v>
      </c>
      <c r="S136" s="13" t="s">
        <v>33</v>
      </c>
    </row>
    <row r="137">
      <c r="A137" s="8">
        <v>45558.59128850694</v>
      </c>
      <c r="B137" s="9" t="s">
        <v>19</v>
      </c>
      <c r="C137" s="9" t="s">
        <v>20</v>
      </c>
      <c r="D137" s="9" t="s">
        <v>21</v>
      </c>
      <c r="E137" s="9" t="s">
        <v>22</v>
      </c>
      <c r="F137" s="9" t="s">
        <v>23</v>
      </c>
      <c r="G137" s="9" t="s">
        <v>36</v>
      </c>
      <c r="H137" s="9" t="s">
        <v>25</v>
      </c>
      <c r="I137" s="9" t="s">
        <v>26</v>
      </c>
      <c r="J137" s="9">
        <v>4.0</v>
      </c>
      <c r="K137" s="9">
        <v>4.0</v>
      </c>
      <c r="L137" s="9">
        <v>3.0</v>
      </c>
      <c r="M137" s="9">
        <v>4.0</v>
      </c>
      <c r="N137" s="9">
        <v>4.0</v>
      </c>
      <c r="O137" s="9">
        <v>3.0</v>
      </c>
      <c r="P137" s="9">
        <v>2.0</v>
      </c>
      <c r="Q137" s="9">
        <v>4.0</v>
      </c>
      <c r="R137" s="9" t="s">
        <v>27</v>
      </c>
      <c r="S137" s="10" t="s">
        <v>33</v>
      </c>
    </row>
    <row r="138">
      <c r="A138" s="11">
        <v>45558.59634738426</v>
      </c>
      <c r="B138" s="12" t="s">
        <v>19</v>
      </c>
      <c r="C138" s="12" t="s">
        <v>34</v>
      </c>
      <c r="D138" s="12" t="s">
        <v>124</v>
      </c>
      <c r="E138" s="12" t="s">
        <v>22</v>
      </c>
      <c r="F138" s="12" t="s">
        <v>40</v>
      </c>
      <c r="G138" s="12" t="s">
        <v>125</v>
      </c>
      <c r="H138" s="12" t="s">
        <v>25</v>
      </c>
      <c r="I138" s="12" t="s">
        <v>32</v>
      </c>
      <c r="J138" s="12">
        <v>5.0</v>
      </c>
      <c r="K138" s="12">
        <v>4.0</v>
      </c>
      <c r="L138" s="12">
        <v>4.0</v>
      </c>
      <c r="M138" s="12">
        <v>5.0</v>
      </c>
      <c r="N138" s="12">
        <v>5.0</v>
      </c>
      <c r="O138" s="12">
        <v>3.0</v>
      </c>
      <c r="P138" s="12">
        <v>2.0</v>
      </c>
      <c r="Q138" s="12">
        <v>4.0</v>
      </c>
      <c r="R138" s="12" t="s">
        <v>27</v>
      </c>
      <c r="S138" s="13" t="s">
        <v>46</v>
      </c>
    </row>
    <row r="139">
      <c r="A139" s="8">
        <v>45558.70222097222</v>
      </c>
      <c r="B139" s="9" t="s">
        <v>19</v>
      </c>
      <c r="C139" s="9" t="s">
        <v>20</v>
      </c>
      <c r="D139" s="9" t="s">
        <v>126</v>
      </c>
      <c r="E139" s="9" t="s">
        <v>22</v>
      </c>
      <c r="F139" s="9" t="s">
        <v>40</v>
      </c>
      <c r="G139" s="9" t="s">
        <v>24</v>
      </c>
      <c r="H139" s="9" t="s">
        <v>127</v>
      </c>
      <c r="I139" s="9" t="s">
        <v>32</v>
      </c>
      <c r="J139" s="9">
        <v>4.0</v>
      </c>
      <c r="L139" s="9">
        <v>2.0</v>
      </c>
      <c r="P139" s="9">
        <v>1.0</v>
      </c>
      <c r="R139" s="9" t="s">
        <v>27</v>
      </c>
    </row>
    <row r="140">
      <c r="A140" s="11">
        <v>45558.70342017361</v>
      </c>
      <c r="B140" s="12" t="s">
        <v>79</v>
      </c>
      <c r="C140" s="12" t="s">
        <v>20</v>
      </c>
      <c r="D140" s="12" t="s">
        <v>128</v>
      </c>
      <c r="E140" s="12" t="s">
        <v>69</v>
      </c>
      <c r="F140" s="12" t="s">
        <v>81</v>
      </c>
      <c r="G140" s="12" t="s">
        <v>129</v>
      </c>
      <c r="H140" s="12" t="s">
        <v>130</v>
      </c>
      <c r="I140" s="12" t="s">
        <v>32</v>
      </c>
      <c r="J140" s="12">
        <v>1.0</v>
      </c>
      <c r="K140" s="12">
        <v>5.0</v>
      </c>
      <c r="L140" s="12">
        <v>1.0</v>
      </c>
      <c r="M140" s="12">
        <v>5.0</v>
      </c>
      <c r="N140" s="12">
        <v>1.0</v>
      </c>
      <c r="O140" s="12">
        <v>5.0</v>
      </c>
      <c r="P140" s="12">
        <v>1.0</v>
      </c>
      <c r="Q140" s="12">
        <v>5.0</v>
      </c>
      <c r="R140" s="12" t="s">
        <v>82</v>
      </c>
      <c r="S140" s="13" t="s">
        <v>71</v>
      </c>
    </row>
    <row r="141">
      <c r="A141" s="8">
        <v>45558.7035822801</v>
      </c>
      <c r="B141" s="9" t="s">
        <v>29</v>
      </c>
      <c r="C141" s="9" t="s">
        <v>20</v>
      </c>
      <c r="D141" s="9" t="s">
        <v>35</v>
      </c>
      <c r="E141" s="9" t="s">
        <v>22</v>
      </c>
      <c r="F141" s="9" t="s">
        <v>40</v>
      </c>
      <c r="G141" s="9" t="s">
        <v>51</v>
      </c>
      <c r="H141" s="9" t="s">
        <v>25</v>
      </c>
      <c r="I141" s="9" t="s">
        <v>26</v>
      </c>
      <c r="J141" s="9">
        <v>4.0</v>
      </c>
      <c r="K141" s="9">
        <v>4.0</v>
      </c>
      <c r="L141" s="9">
        <v>2.0</v>
      </c>
      <c r="M141" s="9">
        <v>3.0</v>
      </c>
      <c r="N141" s="9">
        <v>4.0</v>
      </c>
      <c r="O141" s="9">
        <v>3.0</v>
      </c>
      <c r="P141" s="9">
        <v>2.0</v>
      </c>
      <c r="Q141" s="9">
        <v>4.0</v>
      </c>
      <c r="R141" s="9" t="s">
        <v>27</v>
      </c>
      <c r="S141" s="10" t="s">
        <v>42</v>
      </c>
    </row>
    <row r="142">
      <c r="A142" s="11">
        <v>45558.70739611112</v>
      </c>
      <c r="B142" s="12" t="s">
        <v>19</v>
      </c>
      <c r="C142" s="12" t="s">
        <v>34</v>
      </c>
      <c r="D142" s="12" t="s">
        <v>35</v>
      </c>
      <c r="E142" s="12" t="s">
        <v>22</v>
      </c>
      <c r="F142" s="12" t="s">
        <v>23</v>
      </c>
      <c r="G142" s="12" t="s">
        <v>36</v>
      </c>
      <c r="H142" s="12" t="s">
        <v>25</v>
      </c>
      <c r="I142" s="12" t="s">
        <v>32</v>
      </c>
      <c r="J142" s="12">
        <v>5.0</v>
      </c>
      <c r="K142" s="12">
        <v>5.0</v>
      </c>
      <c r="L142" s="12">
        <v>4.0</v>
      </c>
      <c r="M142" s="12">
        <v>5.0</v>
      </c>
      <c r="N142" s="12">
        <v>5.0</v>
      </c>
      <c r="O142" s="12">
        <v>5.0</v>
      </c>
      <c r="P142" s="12">
        <v>3.0</v>
      </c>
      <c r="Q142" s="12">
        <v>5.0</v>
      </c>
      <c r="R142" s="12" t="s">
        <v>27</v>
      </c>
      <c r="S142" s="13" t="s">
        <v>46</v>
      </c>
    </row>
    <row r="143">
      <c r="A143" s="8">
        <v>45558.72133373843</v>
      </c>
      <c r="B143" s="9" t="s">
        <v>29</v>
      </c>
      <c r="C143" s="9" t="s">
        <v>20</v>
      </c>
      <c r="D143" s="9" t="s">
        <v>131</v>
      </c>
      <c r="E143" s="9" t="s">
        <v>22</v>
      </c>
      <c r="F143" s="9" t="s">
        <v>23</v>
      </c>
      <c r="G143" s="9" t="s">
        <v>41</v>
      </c>
      <c r="H143" s="9" t="s">
        <v>25</v>
      </c>
      <c r="I143" s="9" t="s">
        <v>32</v>
      </c>
      <c r="J143" s="9">
        <v>4.0</v>
      </c>
      <c r="K143" s="9">
        <v>5.0</v>
      </c>
      <c r="L143" s="9">
        <v>4.0</v>
      </c>
      <c r="M143" s="9">
        <v>5.0</v>
      </c>
      <c r="N143" s="9">
        <v>5.0</v>
      </c>
      <c r="O143" s="9">
        <v>3.0</v>
      </c>
      <c r="P143" s="9">
        <v>4.0</v>
      </c>
      <c r="Q143" s="9">
        <v>5.0</v>
      </c>
      <c r="R143" s="9" t="s">
        <v>27</v>
      </c>
      <c r="S143" s="10" t="s">
        <v>33</v>
      </c>
    </row>
    <row r="144">
      <c r="A144" s="11">
        <v>45558.80887133101</v>
      </c>
      <c r="B144" s="12" t="s">
        <v>29</v>
      </c>
      <c r="C144" s="12" t="s">
        <v>20</v>
      </c>
      <c r="D144" s="12" t="s">
        <v>95</v>
      </c>
      <c r="E144" s="12" t="s">
        <v>22</v>
      </c>
      <c r="F144" s="12" t="s">
        <v>40</v>
      </c>
      <c r="G144" s="12" t="s">
        <v>51</v>
      </c>
      <c r="H144" s="12" t="s">
        <v>37</v>
      </c>
      <c r="I144" s="12" t="s">
        <v>32</v>
      </c>
      <c r="J144" s="12">
        <v>3.0</v>
      </c>
      <c r="K144" s="12">
        <v>3.0</v>
      </c>
      <c r="L144" s="12">
        <v>3.0</v>
      </c>
      <c r="M144" s="12">
        <v>3.0</v>
      </c>
      <c r="N144" s="12">
        <v>3.0</v>
      </c>
      <c r="O144" s="12">
        <v>3.0</v>
      </c>
      <c r="P144" s="12">
        <v>3.0</v>
      </c>
      <c r="Q144" s="12">
        <v>3.0</v>
      </c>
      <c r="R144" s="12" t="s">
        <v>27</v>
      </c>
      <c r="S144" s="13" t="s">
        <v>71</v>
      </c>
    </row>
    <row r="145">
      <c r="A145" s="8">
        <v>45558.85366104166</v>
      </c>
      <c r="B145" s="9" t="s">
        <v>29</v>
      </c>
      <c r="C145" s="9" t="s">
        <v>34</v>
      </c>
      <c r="D145" s="9" t="s">
        <v>43</v>
      </c>
      <c r="E145" s="9" t="s">
        <v>22</v>
      </c>
      <c r="F145" s="9" t="s">
        <v>23</v>
      </c>
      <c r="G145" s="9" t="s">
        <v>24</v>
      </c>
      <c r="H145" s="9" t="s">
        <v>25</v>
      </c>
      <c r="I145" s="9" t="s">
        <v>32</v>
      </c>
      <c r="J145" s="9">
        <v>5.0</v>
      </c>
      <c r="K145" s="9">
        <v>5.0</v>
      </c>
      <c r="L145" s="9">
        <v>3.0</v>
      </c>
      <c r="M145" s="9">
        <v>5.0</v>
      </c>
      <c r="N145" s="9">
        <v>5.0</v>
      </c>
      <c r="O145" s="9">
        <v>5.0</v>
      </c>
      <c r="P145" s="9">
        <v>2.0</v>
      </c>
      <c r="Q145" s="9">
        <v>5.0</v>
      </c>
      <c r="R145" s="9" t="s">
        <v>48</v>
      </c>
      <c r="S145" s="10" t="s">
        <v>33</v>
      </c>
    </row>
    <row r="146">
      <c r="A146" s="11">
        <v>45558.87990489583</v>
      </c>
      <c r="B146" s="12" t="s">
        <v>29</v>
      </c>
      <c r="C146" s="12" t="s">
        <v>34</v>
      </c>
      <c r="D146" s="12" t="s">
        <v>35</v>
      </c>
      <c r="E146" s="12" t="s">
        <v>22</v>
      </c>
      <c r="F146" s="12" t="s">
        <v>81</v>
      </c>
      <c r="G146" s="12" t="s">
        <v>51</v>
      </c>
      <c r="H146" s="12" t="s">
        <v>25</v>
      </c>
      <c r="I146" s="12" t="s">
        <v>26</v>
      </c>
      <c r="J146" s="12">
        <v>4.0</v>
      </c>
      <c r="K146" s="12">
        <v>4.0</v>
      </c>
      <c r="L146" s="12">
        <v>3.0</v>
      </c>
      <c r="M146" s="12">
        <v>5.0</v>
      </c>
      <c r="N146" s="12">
        <v>5.0</v>
      </c>
      <c r="O146" s="12">
        <v>4.0</v>
      </c>
      <c r="P146" s="12">
        <v>2.0</v>
      </c>
      <c r="Q146" s="12">
        <v>4.0</v>
      </c>
      <c r="R146" s="12" t="s">
        <v>48</v>
      </c>
      <c r="S146" s="13" t="s">
        <v>38</v>
      </c>
    </row>
    <row r="147">
      <c r="A147" s="8">
        <v>45558.88663547454</v>
      </c>
      <c r="B147" s="9" t="s">
        <v>19</v>
      </c>
      <c r="C147" s="9" t="s">
        <v>20</v>
      </c>
      <c r="D147" s="9" t="s">
        <v>35</v>
      </c>
      <c r="E147" s="9" t="s">
        <v>22</v>
      </c>
      <c r="F147" s="9" t="s">
        <v>40</v>
      </c>
      <c r="G147" s="9" t="s">
        <v>24</v>
      </c>
      <c r="H147" s="9" t="s">
        <v>25</v>
      </c>
      <c r="I147" s="9" t="s">
        <v>32</v>
      </c>
      <c r="J147" s="9">
        <v>5.0</v>
      </c>
      <c r="K147" s="9">
        <v>5.0</v>
      </c>
      <c r="L147" s="9">
        <v>5.0</v>
      </c>
      <c r="M147" s="9">
        <v>4.0</v>
      </c>
      <c r="P147" s="9">
        <v>1.0</v>
      </c>
      <c r="Q147" s="9">
        <v>3.0</v>
      </c>
      <c r="R147" s="9" t="s">
        <v>27</v>
      </c>
      <c r="S147" s="10" t="s">
        <v>42</v>
      </c>
    </row>
    <row r="148">
      <c r="A148" s="11">
        <v>45558.890518541666</v>
      </c>
      <c r="B148" s="12" t="s">
        <v>29</v>
      </c>
      <c r="C148" s="12" t="s">
        <v>34</v>
      </c>
      <c r="D148" s="12" t="s">
        <v>132</v>
      </c>
      <c r="E148" s="12" t="s">
        <v>22</v>
      </c>
      <c r="F148" s="12" t="s">
        <v>40</v>
      </c>
      <c r="G148" s="12" t="s">
        <v>51</v>
      </c>
      <c r="H148" s="12" t="s">
        <v>133</v>
      </c>
      <c r="I148" s="12" t="s">
        <v>32</v>
      </c>
      <c r="J148" s="12">
        <v>5.0</v>
      </c>
      <c r="K148" s="12">
        <v>5.0</v>
      </c>
      <c r="L148" s="12">
        <v>4.0</v>
      </c>
      <c r="M148" s="12">
        <v>5.0</v>
      </c>
      <c r="N148" s="12">
        <v>4.0</v>
      </c>
      <c r="O148" s="12">
        <v>5.0</v>
      </c>
      <c r="P148" s="12">
        <v>1.0</v>
      </c>
      <c r="Q148" s="12">
        <v>3.0</v>
      </c>
      <c r="R148" s="12" t="s">
        <v>27</v>
      </c>
      <c r="S148" s="13" t="s">
        <v>71</v>
      </c>
    </row>
    <row r="149">
      <c r="A149" s="8">
        <v>45559.77694023148</v>
      </c>
      <c r="B149" s="9" t="s">
        <v>29</v>
      </c>
      <c r="C149" s="9" t="s">
        <v>20</v>
      </c>
      <c r="D149" s="9" t="s">
        <v>35</v>
      </c>
      <c r="E149" s="9" t="s">
        <v>22</v>
      </c>
      <c r="F149" s="9" t="s">
        <v>23</v>
      </c>
      <c r="G149" s="9" t="s">
        <v>41</v>
      </c>
      <c r="H149" s="9" t="s">
        <v>134</v>
      </c>
      <c r="I149" s="9" t="s">
        <v>32</v>
      </c>
      <c r="J149" s="9">
        <v>3.0</v>
      </c>
      <c r="K149" s="9">
        <v>4.0</v>
      </c>
      <c r="L149" s="9">
        <v>1.0</v>
      </c>
      <c r="M149" s="9">
        <v>3.0</v>
      </c>
      <c r="N149" s="9">
        <v>4.0</v>
      </c>
      <c r="O149" s="9">
        <v>3.0</v>
      </c>
      <c r="P149" s="9">
        <v>1.0</v>
      </c>
      <c r="Q149" s="9">
        <v>2.0</v>
      </c>
      <c r="R149" s="9" t="s">
        <v>48</v>
      </c>
      <c r="S149" s="10" t="s">
        <v>46</v>
      </c>
    </row>
    <row r="150">
      <c r="A150" s="11">
        <v>45559.946872650464</v>
      </c>
      <c r="B150" s="12" t="s">
        <v>29</v>
      </c>
      <c r="C150" s="12" t="s">
        <v>34</v>
      </c>
      <c r="D150" s="12" t="s">
        <v>95</v>
      </c>
      <c r="E150" s="12" t="s">
        <v>22</v>
      </c>
      <c r="F150" s="12" t="s">
        <v>40</v>
      </c>
      <c r="G150" s="12" t="s">
        <v>51</v>
      </c>
      <c r="H150" s="12" t="s">
        <v>25</v>
      </c>
      <c r="I150" s="12" t="s">
        <v>26</v>
      </c>
      <c r="J150" s="12">
        <v>4.0</v>
      </c>
      <c r="K150" s="12">
        <v>4.0</v>
      </c>
      <c r="L150" s="12">
        <v>3.0</v>
      </c>
      <c r="M150" s="12">
        <v>5.0</v>
      </c>
      <c r="N150" s="12">
        <v>4.0</v>
      </c>
      <c r="O150" s="12">
        <v>2.0</v>
      </c>
      <c r="P150" s="12">
        <v>4.0</v>
      </c>
      <c r="Q150" s="12">
        <v>4.0</v>
      </c>
      <c r="R150" s="12" t="s">
        <v>27</v>
      </c>
      <c r="S150" s="13" t="s">
        <v>46</v>
      </c>
    </row>
    <row r="151">
      <c r="A151" s="8">
        <v>45560.275043738424</v>
      </c>
      <c r="B151" s="9" t="s">
        <v>29</v>
      </c>
      <c r="C151" s="9" t="s">
        <v>34</v>
      </c>
      <c r="D151" s="9" t="s">
        <v>135</v>
      </c>
      <c r="E151" s="9" t="s">
        <v>22</v>
      </c>
      <c r="F151" s="9" t="s">
        <v>40</v>
      </c>
      <c r="G151" s="9" t="s">
        <v>41</v>
      </c>
      <c r="H151" s="9" t="s">
        <v>25</v>
      </c>
      <c r="I151" s="9" t="s">
        <v>32</v>
      </c>
      <c r="J151" s="9">
        <v>4.0</v>
      </c>
      <c r="K151" s="9">
        <v>3.0</v>
      </c>
      <c r="L151" s="9">
        <v>4.0</v>
      </c>
      <c r="M151" s="9">
        <v>5.0</v>
      </c>
      <c r="N151" s="9">
        <v>4.0</v>
      </c>
      <c r="O151" s="9">
        <v>4.0</v>
      </c>
      <c r="P151" s="9">
        <v>3.0</v>
      </c>
      <c r="Q151" s="9">
        <v>4.0</v>
      </c>
      <c r="R151" s="9" t="s">
        <v>48</v>
      </c>
      <c r="S151" s="10" t="s">
        <v>33</v>
      </c>
    </row>
    <row r="152">
      <c r="A152" s="11">
        <v>45562.00699540509</v>
      </c>
      <c r="B152" s="12" t="s">
        <v>29</v>
      </c>
      <c r="C152" s="12" t="s">
        <v>34</v>
      </c>
      <c r="D152" s="12" t="s">
        <v>35</v>
      </c>
      <c r="E152" s="12" t="s">
        <v>22</v>
      </c>
      <c r="F152" s="12" t="s">
        <v>23</v>
      </c>
      <c r="G152" s="12" t="s">
        <v>36</v>
      </c>
      <c r="H152" s="12" t="s">
        <v>25</v>
      </c>
      <c r="I152" s="12" t="s">
        <v>32</v>
      </c>
      <c r="J152" s="12">
        <v>5.0</v>
      </c>
      <c r="K152" s="12">
        <v>5.0</v>
      </c>
      <c r="L152" s="12">
        <v>5.0</v>
      </c>
      <c r="M152" s="12">
        <v>5.0</v>
      </c>
      <c r="N152" s="12">
        <v>3.0</v>
      </c>
      <c r="O152" s="12">
        <v>5.0</v>
      </c>
      <c r="P152" s="12">
        <v>4.0</v>
      </c>
      <c r="Q152" s="12">
        <v>5.0</v>
      </c>
      <c r="R152" s="12" t="s">
        <v>27</v>
      </c>
      <c r="S152" s="13" t="s">
        <v>33</v>
      </c>
    </row>
    <row r="153">
      <c r="A153" s="8">
        <v>45563.54263927083</v>
      </c>
      <c r="B153" s="9" t="s">
        <v>29</v>
      </c>
      <c r="C153" s="9" t="s">
        <v>20</v>
      </c>
      <c r="D153" s="9" t="s">
        <v>35</v>
      </c>
      <c r="E153" s="9" t="s">
        <v>22</v>
      </c>
      <c r="F153" s="9" t="s">
        <v>23</v>
      </c>
      <c r="G153" s="9" t="s">
        <v>51</v>
      </c>
      <c r="H153" s="9" t="s">
        <v>25</v>
      </c>
      <c r="I153" s="9" t="s">
        <v>32</v>
      </c>
      <c r="J153" s="9">
        <v>4.0</v>
      </c>
      <c r="K153" s="9">
        <v>5.0</v>
      </c>
      <c r="L153" s="9">
        <v>3.0</v>
      </c>
      <c r="M153" s="9">
        <v>4.0</v>
      </c>
      <c r="N153" s="9">
        <v>5.0</v>
      </c>
      <c r="O153" s="9">
        <v>5.0</v>
      </c>
      <c r="P153" s="9">
        <v>2.0</v>
      </c>
      <c r="Q153" s="9">
        <v>5.0</v>
      </c>
      <c r="R153" s="9" t="s">
        <v>27</v>
      </c>
      <c r="S153" s="10" t="s">
        <v>38</v>
      </c>
    </row>
    <row r="154">
      <c r="A154" s="5"/>
      <c r="B154" s="6"/>
      <c r="C154" s="15"/>
      <c r="D154" s="1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7"/>
    </row>
    <row r="155">
      <c r="A155" s="16"/>
      <c r="B155" s="17"/>
      <c r="C155" s="18"/>
      <c r="D155" s="18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9"/>
    </row>
    <row r="156">
      <c r="A156" s="5"/>
      <c r="B156" s="6"/>
      <c r="C156" s="15"/>
      <c r="D156" s="1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7"/>
    </row>
    <row r="157">
      <c r="A157" s="16"/>
      <c r="B157" s="17"/>
      <c r="C157" s="18"/>
      <c r="D157" s="18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9"/>
    </row>
    <row r="158">
      <c r="A158" s="20"/>
      <c r="B158" s="21"/>
      <c r="C158" s="22"/>
      <c r="D158" s="22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3"/>
    </row>
    <row r="159">
      <c r="S159" s="14"/>
    </row>
    <row r="160">
      <c r="F160" s="24"/>
      <c r="H160" s="25"/>
      <c r="R160" s="26">
        <f>COUNTIF(Q:Q, "5")</f>
        <v>48</v>
      </c>
      <c r="S160" s="27"/>
    </row>
    <row r="161">
      <c r="F161" s="24"/>
      <c r="H161" s="25"/>
      <c r="R161" s="26">
        <f>COUNTIF(Q:Q, "&lt;4")</f>
        <v>42</v>
      </c>
      <c r="S161" s="27"/>
    </row>
    <row r="162">
      <c r="H162" s="25"/>
      <c r="S162" s="27"/>
    </row>
    <row r="163">
      <c r="H163" s="25"/>
      <c r="S163" s="27"/>
    </row>
    <row r="164">
      <c r="H164" s="25"/>
      <c r="S164" s="27"/>
    </row>
    <row r="165">
      <c r="H165" s="25"/>
      <c r="S165" s="27"/>
    </row>
    <row r="166">
      <c r="H166" s="2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28" t="s">
        <v>136</v>
      </c>
      <c r="B1" s="24">
        <f>COUNTIF('Ответы на форму (1)'!C:C,"Мужчина")/COUNT('Ответы на форму (1)'!A:A)</f>
        <v>0.5131578947</v>
      </c>
      <c r="D1" s="29" t="s">
        <v>137</v>
      </c>
      <c r="E1" s="24">
        <f>COUNTIF('Ответы на форму (1)'!$F:$F,"Очень редко (раз в несколько месяцев)")/COUNT('Ответы на форму (1)'!A:A)</f>
        <v>0.125</v>
      </c>
      <c r="G1" s="29" t="s">
        <v>138</v>
      </c>
      <c r="H1" s="24">
        <f>COUNTIF('Ответы на форму (1)'!G:G, "Пицца") / COUNT('Ответы на форму (1)'!A:A)</f>
        <v>0.2368421053</v>
      </c>
      <c r="J1" s="29" t="s">
        <v>139</v>
      </c>
      <c r="K1" s="24">
        <f>COUNTIF('Ответы на форму (1)'!H:H, "ДодоПицца") / COUNT('Ответы на форму (1)'!A:A)</f>
        <v>0.7171052632</v>
      </c>
      <c r="M1" s="29" t="s">
        <v>140</v>
      </c>
      <c r="N1" s="26">
        <f>AVERAGE('Ответы на форму (1)'!Q:Q)</f>
        <v>3.917808219</v>
      </c>
    </row>
    <row r="2">
      <c r="B2" s="24"/>
      <c r="D2" s="29" t="s">
        <v>141</v>
      </c>
      <c r="E2" s="24">
        <f>COUNTIF('Ответы на форму (1)'!$F:$F,"Иногда (раз в пару недель)")/COUNT('Ответы на форму (1)'!A:A)</f>
        <v>0.4671052632</v>
      </c>
    </row>
    <row r="3">
      <c r="B3" s="24"/>
      <c r="D3" s="29" t="s">
        <v>142</v>
      </c>
      <c r="E3" s="24">
        <f>1-E1-E2</f>
        <v>0.4078947368</v>
      </c>
      <c r="M3" s="28" t="s">
        <v>143</v>
      </c>
      <c r="N3" s="24">
        <f>COUNTIF('Ответы на форму (1)'!R:R,"&lt;50 тыс.")/COUNT('Ответы на форму (1)'!A:A)</f>
        <v>0.8026315789</v>
      </c>
    </row>
    <row r="4">
      <c r="D4" s="30"/>
    </row>
    <row r="5">
      <c r="D5" s="30"/>
      <c r="M5" s="28" t="s">
        <v>144</v>
      </c>
    </row>
    <row r="6">
      <c r="D6" s="30"/>
      <c r="N6" s="27">
        <f>COUNTIF('Ответы на форму (1)'!S:S, "менее 5%")/COUNT('Ответы на форму (1)'!A:A)</f>
        <v>0.1907894737</v>
      </c>
    </row>
    <row r="7">
      <c r="D7" s="30"/>
      <c r="N7" s="27">
        <f>COUNTIF('Ответы на форму (1)'!S:S, "5 - 10 %")/COUNT('Ответы на форму (1)'!A:A)</f>
        <v>0.3157894737</v>
      </c>
    </row>
    <row r="8">
      <c r="D8" s="30"/>
      <c r="N8" s="27">
        <f>COUNTIF('Ответы на форму (1)'!S:S, "10 - 20 %")/COUNT('Ответы на форму (1)'!A:A)</f>
        <v>0.2368421053</v>
      </c>
    </row>
    <row r="9">
      <c r="D9" s="30"/>
      <c r="N9" s="27">
        <f>COUNTIF('Ответы на форму (1)'!S:S, "20 - 30 %")/COUNT('Ответы на форму (1)'!A:A)</f>
        <v>0.07894736842</v>
      </c>
    </row>
    <row r="10">
      <c r="D10" s="30"/>
      <c r="N10" s="27">
        <f>COUNTIF('Ответы на форму (1)'!S:S, "Более 50 %")/COUNT('Ответы на форму (1)'!A:A)</f>
        <v>0.08552631579</v>
      </c>
    </row>
    <row r="11">
      <c r="A11" s="31" t="s">
        <v>145</v>
      </c>
      <c r="B11" s="32"/>
      <c r="C11" s="32"/>
      <c r="D11" s="32"/>
      <c r="E11" s="32"/>
      <c r="F11" s="32"/>
      <c r="G11" s="32"/>
      <c r="N11" s="27">
        <f>COUNTIF('Ответы на форму (1)'!S:S, "30 - 50 %")/COUNT('Ответы на форму (1)'!A:A)</f>
        <v>0.05263157895</v>
      </c>
    </row>
    <row r="12">
      <c r="A12" s="32" t="s">
        <v>146</v>
      </c>
      <c r="B12" s="32" t="s">
        <v>147</v>
      </c>
      <c r="C12" s="32" t="s">
        <v>148</v>
      </c>
      <c r="D12" s="32" t="s">
        <v>149</v>
      </c>
      <c r="E12" s="32" t="s">
        <v>150</v>
      </c>
      <c r="F12" s="32" t="s">
        <v>151</v>
      </c>
      <c r="G12" s="32" t="s">
        <v>152</v>
      </c>
    </row>
    <row r="13">
      <c r="A13" s="33">
        <f>AVERAGE('Ответы на форму (1)'!J:J)</f>
        <v>4.1</v>
      </c>
      <c r="B13" s="33">
        <f>AVERAGE('Ответы на форму (1)'!K:K)</f>
        <v>4.126760563</v>
      </c>
      <c r="C13" s="33">
        <f>AVERAGE('Ответы на форму (1)'!L:L)</f>
        <v>3.493333333</v>
      </c>
      <c r="D13" s="33">
        <f>AVERAGE('Ответы на форму (1)'!M:M)</f>
        <v>4.33557047</v>
      </c>
      <c r="E13" s="33">
        <f>AVERAGE('Ответы на форму (1)'!N:N)</f>
        <v>4.270833333</v>
      </c>
      <c r="F13" s="33">
        <f>AVERAGE('Ответы на форму (1)'!O:O)</f>
        <v>3.770833333</v>
      </c>
      <c r="G13" s="33">
        <f>AVERAGE('Ответы на форму (1)'!P:P)</f>
        <v>2.781456954</v>
      </c>
    </row>
    <row r="14">
      <c r="D14" s="30"/>
    </row>
    <row r="15">
      <c r="D15" s="30"/>
    </row>
    <row r="16">
      <c r="D16" s="30"/>
      <c r="M16" s="28" t="s">
        <v>153</v>
      </c>
    </row>
    <row r="17">
      <c r="D17" s="30"/>
      <c r="M17" s="28" t="s">
        <v>154</v>
      </c>
      <c r="N17" s="26">
        <f>COUNTIF( 'Ответы на форму (1)'!Q:Q, "5")</f>
        <v>48</v>
      </c>
      <c r="O17" s="26">
        <f>N17/COUNT('Ответы на форму (1)'!Q:Q)</f>
        <v>0.3287671233</v>
      </c>
    </row>
    <row r="18">
      <c r="D18" s="30"/>
      <c r="M18" s="28" t="s">
        <v>155</v>
      </c>
      <c r="N18" s="26">
        <f>COUNTIF( 'Ответы на форму (1)'!Q:Q, "&lt;4")</f>
        <v>42</v>
      </c>
      <c r="O18" s="26">
        <f>N18/COUNT('Ответы на форму (1)'!Q:Q)</f>
        <v>0.2876712329</v>
      </c>
    </row>
    <row r="19">
      <c r="D19" s="30"/>
      <c r="M19" s="28" t="s">
        <v>153</v>
      </c>
      <c r="N19" s="26">
        <f>(N17-N18)/COUNT('Ответы на форму (1)'!Q:Q)</f>
        <v>0.04109589041</v>
      </c>
      <c r="O19" s="26">
        <f>O17-O18</f>
        <v>0.04109589041</v>
      </c>
    </row>
    <row r="20">
      <c r="D20" s="30"/>
    </row>
    <row r="21">
      <c r="D21" s="30"/>
    </row>
    <row r="22">
      <c r="D22" s="30"/>
    </row>
    <row r="23">
      <c r="D23" s="30"/>
    </row>
    <row r="24">
      <c r="D24" s="30"/>
    </row>
    <row r="25">
      <c r="D25" s="30"/>
    </row>
    <row r="26">
      <c r="D26" s="30"/>
    </row>
    <row r="27">
      <c r="D27" s="30"/>
    </row>
    <row r="28">
      <c r="D28" s="30"/>
    </row>
    <row r="29">
      <c r="D29" s="30"/>
    </row>
    <row r="30">
      <c r="D30" s="30"/>
    </row>
    <row r="31">
      <c r="D31" s="30"/>
    </row>
    <row r="32">
      <c r="D32" s="30"/>
    </row>
    <row r="33">
      <c r="D33" s="30"/>
    </row>
    <row r="34">
      <c r="D34" s="30"/>
    </row>
    <row r="35">
      <c r="D35" s="30"/>
    </row>
    <row r="36">
      <c r="D36" s="30"/>
    </row>
    <row r="37">
      <c r="D37" s="30"/>
    </row>
    <row r="38">
      <c r="D38" s="30"/>
    </row>
    <row r="39">
      <c r="D39" s="30"/>
    </row>
    <row r="40">
      <c r="D40" s="30"/>
    </row>
    <row r="41">
      <c r="D41" s="30"/>
    </row>
    <row r="42">
      <c r="D42" s="30"/>
    </row>
    <row r="43">
      <c r="D43" s="30"/>
    </row>
    <row r="44">
      <c r="D44" s="30"/>
    </row>
    <row r="45">
      <c r="D45" s="30"/>
    </row>
    <row r="46">
      <c r="D46" s="30"/>
    </row>
    <row r="47">
      <c r="D47" s="30"/>
    </row>
    <row r="48">
      <c r="D48" s="30"/>
    </row>
    <row r="49">
      <c r="D49" s="30"/>
    </row>
    <row r="50">
      <c r="D50" s="30"/>
    </row>
    <row r="51">
      <c r="D51" s="30"/>
    </row>
    <row r="52">
      <c r="D52" s="30"/>
    </row>
    <row r="53">
      <c r="D53" s="30"/>
    </row>
    <row r="54">
      <c r="D54" s="30"/>
    </row>
    <row r="55">
      <c r="D55" s="30"/>
    </row>
    <row r="56">
      <c r="D56" s="30"/>
    </row>
    <row r="57">
      <c r="D57" s="30"/>
    </row>
    <row r="58">
      <c r="D58" s="30"/>
    </row>
    <row r="59">
      <c r="D59" s="30"/>
    </row>
    <row r="60">
      <c r="D60" s="30"/>
    </row>
    <row r="61">
      <c r="D61" s="30"/>
    </row>
    <row r="62">
      <c r="D62" s="30"/>
    </row>
    <row r="63">
      <c r="D63" s="30"/>
    </row>
    <row r="64">
      <c r="D64" s="30"/>
    </row>
    <row r="65">
      <c r="D65" s="30"/>
    </row>
    <row r="66">
      <c r="D66" s="30"/>
    </row>
    <row r="67">
      <c r="D67" s="30"/>
    </row>
    <row r="68">
      <c r="D68" s="30"/>
    </row>
    <row r="69">
      <c r="D69" s="30"/>
    </row>
    <row r="70">
      <c r="D70" s="30"/>
    </row>
    <row r="71">
      <c r="D71" s="30"/>
    </row>
    <row r="72">
      <c r="D72" s="30"/>
    </row>
    <row r="73">
      <c r="D73" s="30"/>
    </row>
    <row r="74">
      <c r="D74" s="30"/>
    </row>
    <row r="75">
      <c r="D75" s="30"/>
    </row>
    <row r="76">
      <c r="D76" s="30"/>
    </row>
    <row r="77">
      <c r="D77" s="30"/>
    </row>
    <row r="78">
      <c r="D78" s="30"/>
    </row>
    <row r="79">
      <c r="D79" s="30"/>
    </row>
    <row r="80">
      <c r="D80" s="30"/>
    </row>
    <row r="81">
      <c r="D81" s="30"/>
    </row>
    <row r="82">
      <c r="D82" s="30"/>
    </row>
    <row r="83">
      <c r="D83" s="30"/>
    </row>
    <row r="84">
      <c r="D84" s="30"/>
    </row>
    <row r="85">
      <c r="D85" s="30"/>
    </row>
    <row r="86">
      <c r="D86" s="30"/>
    </row>
    <row r="87">
      <c r="D87" s="30"/>
    </row>
    <row r="88">
      <c r="D88" s="30"/>
    </row>
    <row r="89">
      <c r="D89" s="30"/>
    </row>
    <row r="90">
      <c r="D90" s="30"/>
    </row>
    <row r="91">
      <c r="D91" s="30"/>
    </row>
    <row r="92">
      <c r="D92" s="30"/>
    </row>
    <row r="93">
      <c r="D93" s="30"/>
    </row>
    <row r="94">
      <c r="D94" s="30"/>
    </row>
    <row r="95">
      <c r="D95" s="30"/>
    </row>
    <row r="96">
      <c r="D96" s="30"/>
    </row>
    <row r="97">
      <c r="D97" s="30"/>
    </row>
    <row r="98">
      <c r="D98" s="30"/>
    </row>
    <row r="99">
      <c r="D99" s="30"/>
    </row>
    <row r="100">
      <c r="D100" s="30"/>
    </row>
    <row r="101">
      <c r="D101" s="30"/>
    </row>
    <row r="102">
      <c r="D102" s="30"/>
    </row>
    <row r="103">
      <c r="D103" s="30"/>
    </row>
    <row r="104">
      <c r="D104" s="30"/>
    </row>
    <row r="105">
      <c r="D105" s="30"/>
    </row>
    <row r="106">
      <c r="D106" s="30"/>
    </row>
    <row r="107">
      <c r="D107" s="30"/>
    </row>
    <row r="108">
      <c r="D108" s="30"/>
    </row>
    <row r="109">
      <c r="D109" s="30"/>
    </row>
    <row r="110">
      <c r="D110" s="30"/>
    </row>
    <row r="111">
      <c r="D111" s="30"/>
    </row>
    <row r="112">
      <c r="D112" s="30"/>
    </row>
    <row r="113">
      <c r="D113" s="30"/>
    </row>
    <row r="114">
      <c r="D114" s="30"/>
    </row>
    <row r="115">
      <c r="D115" s="30"/>
    </row>
    <row r="116">
      <c r="D116" s="30"/>
    </row>
    <row r="117">
      <c r="D117" s="30"/>
    </row>
    <row r="118">
      <c r="D118" s="30"/>
    </row>
    <row r="119">
      <c r="D119" s="30"/>
    </row>
    <row r="120">
      <c r="D120" s="30"/>
    </row>
    <row r="121">
      <c r="D121" s="30"/>
    </row>
    <row r="122">
      <c r="D122" s="30"/>
    </row>
    <row r="123">
      <c r="D123" s="30"/>
    </row>
    <row r="124">
      <c r="D124" s="30"/>
    </row>
    <row r="125">
      <c r="D125" s="30"/>
    </row>
    <row r="126">
      <c r="D126" s="30"/>
    </row>
    <row r="127">
      <c r="D127" s="30"/>
    </row>
    <row r="128">
      <c r="D128" s="30"/>
    </row>
    <row r="129">
      <c r="D129" s="30"/>
    </row>
    <row r="130">
      <c r="D130" s="30"/>
    </row>
    <row r="131">
      <c r="D131" s="30"/>
    </row>
    <row r="132">
      <c r="D132" s="30"/>
    </row>
    <row r="133">
      <c r="D133" s="30"/>
    </row>
    <row r="134">
      <c r="D134" s="30"/>
    </row>
    <row r="135">
      <c r="D135" s="30"/>
    </row>
    <row r="136">
      <c r="D136" s="30"/>
    </row>
    <row r="137">
      <c r="D137" s="30"/>
    </row>
    <row r="138">
      <c r="D138" s="30"/>
    </row>
    <row r="139">
      <c r="D139" s="30"/>
    </row>
    <row r="140">
      <c r="D140" s="30"/>
    </row>
    <row r="141">
      <c r="D141" s="30"/>
    </row>
    <row r="142">
      <c r="D142" s="30"/>
    </row>
    <row r="143">
      <c r="D143" s="30"/>
    </row>
    <row r="144">
      <c r="D144" s="30"/>
    </row>
    <row r="145">
      <c r="D145" s="30"/>
    </row>
    <row r="146">
      <c r="D146" s="30"/>
    </row>
    <row r="147">
      <c r="D147" s="30"/>
    </row>
    <row r="148">
      <c r="D148" s="30"/>
    </row>
    <row r="149">
      <c r="D149" s="30"/>
    </row>
    <row r="150">
      <c r="D150" s="30"/>
    </row>
    <row r="151">
      <c r="D151" s="30"/>
    </row>
    <row r="152">
      <c r="D152" s="30"/>
    </row>
    <row r="153">
      <c r="D153" s="30"/>
    </row>
    <row r="154">
      <c r="D154" s="30"/>
    </row>
    <row r="155">
      <c r="D155" s="30"/>
    </row>
    <row r="156">
      <c r="D156" s="30"/>
    </row>
    <row r="157">
      <c r="D157" s="30"/>
    </row>
    <row r="158">
      <c r="D158" s="30"/>
    </row>
    <row r="159">
      <c r="D159" s="30"/>
    </row>
    <row r="160">
      <c r="D160" s="30"/>
    </row>
    <row r="161">
      <c r="D161" s="30"/>
    </row>
    <row r="162">
      <c r="D162" s="30"/>
    </row>
    <row r="163">
      <c r="D163" s="30"/>
    </row>
    <row r="164">
      <c r="D164" s="30"/>
    </row>
    <row r="165">
      <c r="D165" s="30"/>
    </row>
    <row r="166">
      <c r="D166" s="30"/>
    </row>
    <row r="167">
      <c r="D167" s="30"/>
    </row>
    <row r="168">
      <c r="D168" s="30"/>
    </row>
    <row r="169">
      <c r="D169" s="30"/>
    </row>
    <row r="170">
      <c r="D170" s="30"/>
    </row>
    <row r="171">
      <c r="D171" s="30"/>
    </row>
    <row r="172">
      <c r="D172" s="30"/>
    </row>
    <row r="173">
      <c r="D173" s="30"/>
    </row>
    <row r="174">
      <c r="D174" s="30"/>
    </row>
    <row r="175">
      <c r="D175" s="30"/>
    </row>
    <row r="176">
      <c r="D176" s="30"/>
    </row>
    <row r="177">
      <c r="D177" s="30"/>
    </row>
    <row r="178">
      <c r="D178" s="30"/>
    </row>
    <row r="179">
      <c r="D179" s="30"/>
    </row>
    <row r="180">
      <c r="D180" s="30"/>
    </row>
    <row r="181">
      <c r="D181" s="30"/>
    </row>
    <row r="182">
      <c r="D182" s="30"/>
    </row>
    <row r="183">
      <c r="D183" s="30"/>
    </row>
    <row r="184">
      <c r="D184" s="30"/>
    </row>
    <row r="185">
      <c r="D185" s="30"/>
    </row>
    <row r="186">
      <c r="D186" s="30"/>
    </row>
    <row r="187">
      <c r="D187" s="30"/>
    </row>
    <row r="188">
      <c r="D188" s="30"/>
    </row>
    <row r="189">
      <c r="D189" s="30"/>
    </row>
    <row r="190">
      <c r="D190" s="30"/>
    </row>
    <row r="191">
      <c r="D191" s="30"/>
    </row>
    <row r="192">
      <c r="D192" s="30"/>
    </row>
    <row r="193">
      <c r="D193" s="30"/>
    </row>
    <row r="194">
      <c r="D194" s="30"/>
    </row>
    <row r="195">
      <c r="D195" s="30"/>
    </row>
    <row r="196">
      <c r="D196" s="30"/>
    </row>
    <row r="197">
      <c r="D197" s="30"/>
    </row>
    <row r="198">
      <c r="D198" s="30"/>
    </row>
    <row r="199">
      <c r="D199" s="30"/>
    </row>
    <row r="200">
      <c r="D200" s="30"/>
    </row>
    <row r="201">
      <c r="D201" s="30"/>
    </row>
    <row r="202">
      <c r="D202" s="30"/>
    </row>
    <row r="203">
      <c r="D203" s="30"/>
    </row>
    <row r="204">
      <c r="D204" s="30"/>
    </row>
    <row r="205">
      <c r="D205" s="30"/>
    </row>
    <row r="206">
      <c r="D206" s="30"/>
    </row>
    <row r="207">
      <c r="D207" s="30"/>
    </row>
    <row r="208">
      <c r="D208" s="30"/>
    </row>
    <row r="209">
      <c r="D209" s="30"/>
    </row>
    <row r="210">
      <c r="D210" s="30"/>
    </row>
    <row r="211">
      <c r="D211" s="30"/>
    </row>
    <row r="212">
      <c r="D212" s="30"/>
    </row>
    <row r="213">
      <c r="D213" s="30"/>
    </row>
    <row r="214">
      <c r="D214" s="30"/>
    </row>
    <row r="215">
      <c r="D215" s="30"/>
    </row>
    <row r="216">
      <c r="D216" s="30"/>
    </row>
    <row r="217">
      <c r="D217" s="30"/>
    </row>
    <row r="218">
      <c r="D218" s="30"/>
    </row>
    <row r="219">
      <c r="D219" s="30"/>
    </row>
    <row r="220">
      <c r="D220" s="30"/>
    </row>
    <row r="221">
      <c r="D221" s="30"/>
    </row>
    <row r="222">
      <c r="D222" s="30"/>
    </row>
    <row r="223">
      <c r="D223" s="30"/>
    </row>
    <row r="224">
      <c r="D224" s="30"/>
    </row>
    <row r="225">
      <c r="D225" s="30"/>
    </row>
    <row r="226">
      <c r="D226" s="30"/>
    </row>
    <row r="227">
      <c r="D227" s="30"/>
    </row>
    <row r="228">
      <c r="D228" s="30"/>
    </row>
    <row r="229">
      <c r="D229" s="30"/>
    </row>
    <row r="230">
      <c r="D230" s="30"/>
    </row>
    <row r="231">
      <c r="D231" s="30"/>
    </row>
    <row r="232">
      <c r="D232" s="30"/>
    </row>
    <row r="233">
      <c r="D233" s="30"/>
    </row>
    <row r="234">
      <c r="D234" s="30"/>
    </row>
    <row r="235">
      <c r="D235" s="30"/>
    </row>
    <row r="236">
      <c r="D236" s="30"/>
    </row>
    <row r="237">
      <c r="D237" s="30"/>
    </row>
    <row r="238">
      <c r="D238" s="30"/>
    </row>
    <row r="239">
      <c r="D239" s="30"/>
    </row>
    <row r="240">
      <c r="D240" s="30"/>
    </row>
    <row r="241">
      <c r="D241" s="30"/>
    </row>
    <row r="242">
      <c r="D242" s="30"/>
    </row>
    <row r="243">
      <c r="D243" s="30"/>
    </row>
    <row r="244">
      <c r="D244" s="30"/>
    </row>
    <row r="245">
      <c r="D245" s="30"/>
    </row>
    <row r="246">
      <c r="D246" s="30"/>
    </row>
    <row r="247">
      <c r="D247" s="30"/>
    </row>
    <row r="248">
      <c r="D248" s="30"/>
    </row>
    <row r="249">
      <c r="D249" s="30"/>
    </row>
    <row r="250">
      <c r="D250" s="30"/>
    </row>
    <row r="251">
      <c r="D251" s="30"/>
    </row>
    <row r="252">
      <c r="D252" s="30"/>
    </row>
    <row r="253">
      <c r="D253" s="30"/>
    </row>
    <row r="254">
      <c r="D254" s="30"/>
    </row>
    <row r="255">
      <c r="D255" s="30"/>
    </row>
    <row r="256">
      <c r="D256" s="30"/>
    </row>
    <row r="257">
      <c r="D257" s="30"/>
    </row>
    <row r="258">
      <c r="D258" s="30"/>
    </row>
    <row r="259">
      <c r="D259" s="30"/>
    </row>
    <row r="260">
      <c r="D260" s="30"/>
    </row>
    <row r="261">
      <c r="D261" s="30"/>
    </row>
    <row r="262">
      <c r="D262" s="30"/>
    </row>
    <row r="263">
      <c r="D263" s="30"/>
    </row>
    <row r="264">
      <c r="D264" s="30"/>
    </row>
    <row r="265">
      <c r="D265" s="30"/>
    </row>
    <row r="266">
      <c r="D266" s="30"/>
    </row>
    <row r="267">
      <c r="D267" s="30"/>
    </row>
    <row r="268">
      <c r="D268" s="30"/>
    </row>
    <row r="269">
      <c r="D269" s="30"/>
    </row>
    <row r="270">
      <c r="D270" s="30"/>
    </row>
    <row r="271">
      <c r="D271" s="30"/>
    </row>
    <row r="272">
      <c r="D272" s="30"/>
    </row>
    <row r="273">
      <c r="D273" s="30"/>
    </row>
    <row r="274">
      <c r="D274" s="30"/>
    </row>
    <row r="275">
      <c r="D275" s="30"/>
    </row>
    <row r="276">
      <c r="D276" s="30"/>
    </row>
    <row r="277">
      <c r="D277" s="30"/>
    </row>
    <row r="278">
      <c r="D278" s="30"/>
    </row>
    <row r="279">
      <c r="D279" s="30"/>
    </row>
    <row r="280">
      <c r="D280" s="30"/>
    </row>
    <row r="281">
      <c r="D281" s="30"/>
    </row>
    <row r="282">
      <c r="D282" s="30"/>
    </row>
    <row r="283">
      <c r="D283" s="30"/>
    </row>
    <row r="284">
      <c r="D284" s="30"/>
    </row>
    <row r="285">
      <c r="D285" s="30"/>
    </row>
    <row r="286">
      <c r="D286" s="30"/>
    </row>
    <row r="287">
      <c r="D287" s="30"/>
    </row>
    <row r="288">
      <c r="D288" s="30"/>
    </row>
    <row r="289">
      <c r="D289" s="30"/>
    </row>
    <row r="290">
      <c r="D290" s="30"/>
    </row>
    <row r="291">
      <c r="D291" s="30"/>
    </row>
    <row r="292">
      <c r="D292" s="30"/>
    </row>
    <row r="293">
      <c r="D293" s="30"/>
    </row>
    <row r="294">
      <c r="D294" s="30"/>
    </row>
    <row r="295">
      <c r="D295" s="30"/>
    </row>
    <row r="296">
      <c r="D296" s="30"/>
    </row>
    <row r="297">
      <c r="D297" s="30"/>
    </row>
    <row r="298">
      <c r="D298" s="30"/>
    </row>
    <row r="299">
      <c r="D299" s="30"/>
    </row>
    <row r="300">
      <c r="D300" s="30"/>
    </row>
    <row r="301">
      <c r="D301" s="30"/>
    </row>
    <row r="302">
      <c r="D302" s="30"/>
    </row>
    <row r="303">
      <c r="D303" s="30"/>
    </row>
    <row r="304">
      <c r="D304" s="30"/>
    </row>
    <row r="305">
      <c r="D305" s="30"/>
    </row>
    <row r="306">
      <c r="D306" s="30"/>
    </row>
    <row r="307">
      <c r="D307" s="30"/>
    </row>
    <row r="308">
      <c r="D308" s="30"/>
    </row>
    <row r="309">
      <c r="D309" s="30"/>
    </row>
    <row r="310">
      <c r="D310" s="30"/>
    </row>
    <row r="311">
      <c r="D311" s="30"/>
    </row>
    <row r="312">
      <c r="D312" s="30"/>
    </row>
    <row r="313">
      <c r="D313" s="30"/>
    </row>
    <row r="314">
      <c r="D314" s="30"/>
    </row>
    <row r="315">
      <c r="D315" s="30"/>
    </row>
    <row r="316">
      <c r="D316" s="30"/>
    </row>
    <row r="317">
      <c r="D317" s="30"/>
    </row>
    <row r="318">
      <c r="D318" s="30"/>
    </row>
    <row r="319">
      <c r="D319" s="30"/>
    </row>
    <row r="320">
      <c r="D320" s="30"/>
    </row>
    <row r="321">
      <c r="D321" s="30"/>
    </row>
    <row r="322">
      <c r="D322" s="30"/>
    </row>
    <row r="323">
      <c r="D323" s="30"/>
    </row>
    <row r="324">
      <c r="D324" s="30"/>
    </row>
    <row r="325">
      <c r="D325" s="30"/>
    </row>
    <row r="326">
      <c r="D326" s="30"/>
    </row>
    <row r="327">
      <c r="D327" s="30"/>
    </row>
    <row r="328">
      <c r="D328" s="30"/>
    </row>
    <row r="329">
      <c r="D329" s="30"/>
    </row>
    <row r="330">
      <c r="D330" s="30"/>
    </row>
    <row r="331">
      <c r="D331" s="30"/>
    </row>
    <row r="332">
      <c r="D332" s="30"/>
    </row>
    <row r="333">
      <c r="D333" s="30"/>
    </row>
    <row r="334">
      <c r="D334" s="30"/>
    </row>
    <row r="335">
      <c r="D335" s="30"/>
    </row>
    <row r="336">
      <c r="D336" s="30"/>
    </row>
    <row r="337">
      <c r="D337" s="30"/>
    </row>
    <row r="338">
      <c r="D338" s="30"/>
    </row>
    <row r="339">
      <c r="D339" s="30"/>
    </row>
    <row r="340">
      <c r="D340" s="30"/>
    </row>
    <row r="341">
      <c r="D341" s="30"/>
    </row>
    <row r="342">
      <c r="D342" s="30"/>
    </row>
    <row r="343">
      <c r="D343" s="30"/>
    </row>
    <row r="344">
      <c r="D344" s="30"/>
    </row>
    <row r="345">
      <c r="D345" s="30"/>
    </row>
    <row r="346">
      <c r="D346" s="30"/>
    </row>
    <row r="347">
      <c r="D347" s="30"/>
    </row>
    <row r="348">
      <c r="D348" s="30"/>
    </row>
    <row r="349">
      <c r="D349" s="30"/>
    </row>
    <row r="350">
      <c r="D350" s="30"/>
    </row>
    <row r="351">
      <c r="D351" s="30"/>
    </row>
    <row r="352">
      <c r="D352" s="30"/>
    </row>
    <row r="353">
      <c r="D353" s="30"/>
    </row>
    <row r="354">
      <c r="D354" s="30"/>
    </row>
    <row r="355">
      <c r="D355" s="30"/>
    </row>
    <row r="356">
      <c r="D356" s="30"/>
    </row>
    <row r="357">
      <c r="D357" s="30"/>
    </row>
    <row r="358">
      <c r="D358" s="30"/>
    </row>
    <row r="359">
      <c r="D359" s="30"/>
    </row>
    <row r="360">
      <c r="D360" s="30"/>
    </row>
    <row r="361">
      <c r="D361" s="30"/>
    </row>
    <row r="362">
      <c r="D362" s="30"/>
    </row>
    <row r="363">
      <c r="D363" s="30"/>
    </row>
    <row r="364">
      <c r="D364" s="30"/>
    </row>
    <row r="365">
      <c r="D365" s="30"/>
    </row>
    <row r="366">
      <c r="D366" s="30"/>
    </row>
    <row r="367">
      <c r="D367" s="30"/>
    </row>
    <row r="368">
      <c r="D368" s="30"/>
    </row>
    <row r="369">
      <c r="D369" s="30"/>
    </row>
    <row r="370">
      <c r="D370" s="30"/>
    </row>
    <row r="371">
      <c r="D371" s="30"/>
    </row>
    <row r="372">
      <c r="D372" s="30"/>
    </row>
    <row r="373">
      <c r="D373" s="30"/>
    </row>
    <row r="374">
      <c r="D374" s="30"/>
    </row>
    <row r="375">
      <c r="D375" s="30"/>
    </row>
    <row r="376">
      <c r="D376" s="30"/>
    </row>
    <row r="377">
      <c r="D377" s="30"/>
    </row>
    <row r="378">
      <c r="D378" s="30"/>
    </row>
    <row r="379">
      <c r="D379" s="30"/>
    </row>
    <row r="380">
      <c r="D380" s="30"/>
    </row>
    <row r="381">
      <c r="D381" s="30"/>
    </row>
    <row r="382">
      <c r="D382" s="30"/>
    </row>
    <row r="383">
      <c r="D383" s="30"/>
    </row>
    <row r="384">
      <c r="D384" s="30"/>
    </row>
    <row r="385">
      <c r="D385" s="30"/>
    </row>
    <row r="386">
      <c r="D386" s="30"/>
    </row>
    <row r="387">
      <c r="D387" s="30"/>
    </row>
    <row r="388">
      <c r="D388" s="30"/>
    </row>
    <row r="389">
      <c r="D389" s="30"/>
    </row>
    <row r="390">
      <c r="D390" s="30"/>
    </row>
    <row r="391">
      <c r="D391" s="30"/>
    </row>
    <row r="392">
      <c r="D392" s="30"/>
    </row>
    <row r="393">
      <c r="D393" s="30"/>
    </row>
    <row r="394">
      <c r="D394" s="30"/>
    </row>
    <row r="395">
      <c r="D395" s="30"/>
    </row>
    <row r="396">
      <c r="D396" s="30"/>
    </row>
    <row r="397">
      <c r="D397" s="30"/>
    </row>
    <row r="398">
      <c r="D398" s="30"/>
    </row>
    <row r="399">
      <c r="D399" s="30"/>
    </row>
    <row r="400">
      <c r="D400" s="30"/>
    </row>
    <row r="401">
      <c r="D401" s="30"/>
    </row>
    <row r="402">
      <c r="D402" s="30"/>
    </row>
    <row r="403">
      <c r="D403" s="30"/>
    </row>
    <row r="404">
      <c r="D404" s="30"/>
    </row>
    <row r="405">
      <c r="D405" s="30"/>
    </row>
    <row r="406">
      <c r="D406" s="30"/>
    </row>
    <row r="407">
      <c r="D407" s="30"/>
    </row>
    <row r="408">
      <c r="D408" s="30"/>
    </row>
    <row r="409">
      <c r="D409" s="30"/>
    </row>
    <row r="410">
      <c r="D410" s="30"/>
    </row>
    <row r="411">
      <c r="D411" s="30"/>
    </row>
    <row r="412">
      <c r="D412" s="30"/>
    </row>
    <row r="413">
      <c r="D413" s="30"/>
    </row>
    <row r="414">
      <c r="D414" s="30"/>
    </row>
    <row r="415">
      <c r="D415" s="30"/>
    </row>
    <row r="416">
      <c r="D416" s="30"/>
    </row>
    <row r="417">
      <c r="D417" s="30"/>
    </row>
    <row r="418">
      <c r="D418" s="30"/>
    </row>
    <row r="419">
      <c r="D419" s="30"/>
    </row>
    <row r="420">
      <c r="D420" s="30"/>
    </row>
    <row r="421">
      <c r="D421" s="30"/>
    </row>
    <row r="422">
      <c r="D422" s="30"/>
    </row>
    <row r="423">
      <c r="D423" s="30"/>
    </row>
    <row r="424">
      <c r="D424" s="30"/>
    </row>
    <row r="425">
      <c r="D425" s="30"/>
    </row>
    <row r="426">
      <c r="D426" s="30"/>
    </row>
    <row r="427">
      <c r="D427" s="30"/>
    </row>
    <row r="428">
      <c r="D428" s="30"/>
    </row>
    <row r="429">
      <c r="D429" s="30"/>
    </row>
    <row r="430">
      <c r="D430" s="30"/>
    </row>
    <row r="431">
      <c r="D431" s="30"/>
    </row>
    <row r="432">
      <c r="D432" s="30"/>
    </row>
    <row r="433">
      <c r="D433" s="30"/>
    </row>
    <row r="434">
      <c r="D434" s="30"/>
    </row>
    <row r="435">
      <c r="D435" s="30"/>
    </row>
    <row r="436">
      <c r="D436" s="30"/>
    </row>
    <row r="437">
      <c r="D437" s="30"/>
    </row>
    <row r="438">
      <c r="D438" s="30"/>
    </row>
    <row r="439">
      <c r="D439" s="30"/>
    </row>
    <row r="440">
      <c r="D440" s="30"/>
    </row>
    <row r="441">
      <c r="D441" s="30"/>
    </row>
    <row r="442">
      <c r="D442" s="30"/>
    </row>
    <row r="443">
      <c r="D443" s="30"/>
    </row>
    <row r="444">
      <c r="D444" s="30"/>
    </row>
    <row r="445">
      <c r="D445" s="30"/>
    </row>
    <row r="446">
      <c r="D446" s="30"/>
    </row>
    <row r="447">
      <c r="D447" s="30"/>
    </row>
    <row r="448">
      <c r="D448" s="30"/>
    </row>
    <row r="449">
      <c r="D449" s="30"/>
    </row>
    <row r="450">
      <c r="D450" s="30"/>
    </row>
    <row r="451">
      <c r="D451" s="30"/>
    </row>
    <row r="452">
      <c r="D452" s="30"/>
    </row>
    <row r="453">
      <c r="D453" s="30"/>
    </row>
    <row r="454">
      <c r="D454" s="30"/>
    </row>
    <row r="455">
      <c r="D455" s="30"/>
    </row>
    <row r="456">
      <c r="D456" s="30"/>
    </row>
    <row r="457">
      <c r="D457" s="30"/>
    </row>
    <row r="458">
      <c r="D458" s="30"/>
    </row>
    <row r="459">
      <c r="D459" s="30"/>
    </row>
    <row r="460">
      <c r="D460" s="30"/>
    </row>
    <row r="461">
      <c r="D461" s="30"/>
    </row>
    <row r="462">
      <c r="D462" s="30"/>
    </row>
    <row r="463">
      <c r="D463" s="30"/>
    </row>
    <row r="464">
      <c r="D464" s="30"/>
    </row>
    <row r="465">
      <c r="D465" s="30"/>
    </row>
    <row r="466">
      <c r="D466" s="30"/>
    </row>
    <row r="467">
      <c r="D467" s="30"/>
    </row>
    <row r="468">
      <c r="D468" s="30"/>
    </row>
    <row r="469">
      <c r="D469" s="30"/>
    </row>
    <row r="470">
      <c r="D470" s="30"/>
    </row>
    <row r="471">
      <c r="D471" s="30"/>
    </row>
    <row r="472">
      <c r="D472" s="30"/>
    </row>
    <row r="473">
      <c r="D473" s="30"/>
    </row>
    <row r="474">
      <c r="D474" s="30"/>
    </row>
    <row r="475">
      <c r="D475" s="30"/>
    </row>
    <row r="476">
      <c r="D476" s="30"/>
    </row>
    <row r="477">
      <c r="D477" s="30"/>
    </row>
    <row r="478">
      <c r="D478" s="30"/>
    </row>
    <row r="479">
      <c r="D479" s="30"/>
    </row>
    <row r="480">
      <c r="D480" s="30"/>
    </row>
    <row r="481">
      <c r="D481" s="30"/>
    </row>
    <row r="482">
      <c r="D482" s="30"/>
    </row>
    <row r="483">
      <c r="D483" s="30"/>
    </row>
    <row r="484">
      <c r="D484" s="30"/>
    </row>
    <row r="485">
      <c r="D485" s="30"/>
    </row>
    <row r="486">
      <c r="D486" s="30"/>
    </row>
    <row r="487">
      <c r="D487" s="30"/>
    </row>
    <row r="488">
      <c r="D488" s="30"/>
    </row>
    <row r="489">
      <c r="D489" s="30"/>
    </row>
    <row r="490">
      <c r="D490" s="30"/>
    </row>
    <row r="491">
      <c r="D491" s="30"/>
    </row>
    <row r="492">
      <c r="D492" s="30"/>
    </row>
    <row r="493">
      <c r="D493" s="30"/>
    </row>
    <row r="494">
      <c r="D494" s="30"/>
    </row>
    <row r="495">
      <c r="D495" s="30"/>
    </row>
    <row r="496">
      <c r="D496" s="30"/>
    </row>
    <row r="497">
      <c r="D497" s="30"/>
    </row>
    <row r="498">
      <c r="D498" s="30"/>
    </row>
    <row r="499">
      <c r="D499" s="30"/>
    </row>
    <row r="500">
      <c r="D500" s="30"/>
    </row>
    <row r="501">
      <c r="D501" s="30"/>
    </row>
    <row r="502">
      <c r="D502" s="30"/>
    </row>
    <row r="503">
      <c r="D503" s="30"/>
    </row>
    <row r="504">
      <c r="D504" s="30"/>
    </row>
    <row r="505">
      <c r="D505" s="30"/>
    </row>
    <row r="506">
      <c r="D506" s="30"/>
    </row>
    <row r="507">
      <c r="D507" s="30"/>
    </row>
    <row r="508">
      <c r="D508" s="30"/>
    </row>
    <row r="509">
      <c r="D509" s="30"/>
    </row>
    <row r="510">
      <c r="D510" s="30"/>
    </row>
    <row r="511">
      <c r="D511" s="30"/>
    </row>
    <row r="512">
      <c r="D512" s="30"/>
    </row>
    <row r="513">
      <c r="D513" s="30"/>
    </row>
    <row r="514">
      <c r="D514" s="30"/>
    </row>
    <row r="515">
      <c r="D515" s="30"/>
    </row>
    <row r="516">
      <c r="D516" s="30"/>
    </row>
    <row r="517">
      <c r="D517" s="30"/>
    </row>
    <row r="518">
      <c r="D518" s="30"/>
    </row>
    <row r="519">
      <c r="D519" s="30"/>
    </row>
    <row r="520">
      <c r="D520" s="30"/>
    </row>
    <row r="521">
      <c r="D521" s="30"/>
    </row>
    <row r="522">
      <c r="D522" s="30"/>
    </row>
    <row r="523">
      <c r="D523" s="30"/>
    </row>
    <row r="524">
      <c r="D524" s="30"/>
    </row>
    <row r="525">
      <c r="D525" s="30"/>
    </row>
    <row r="526">
      <c r="D526" s="30"/>
    </row>
    <row r="527">
      <c r="D527" s="30"/>
    </row>
    <row r="528">
      <c r="D528" s="30"/>
    </row>
    <row r="529">
      <c r="D529" s="30"/>
    </row>
    <row r="530">
      <c r="D530" s="30"/>
    </row>
    <row r="531">
      <c r="D531" s="30"/>
    </row>
    <row r="532">
      <c r="D532" s="30"/>
    </row>
    <row r="533">
      <c r="D533" s="30"/>
    </row>
    <row r="534">
      <c r="D534" s="30"/>
    </row>
    <row r="535">
      <c r="D535" s="30"/>
    </row>
    <row r="536">
      <c r="D536" s="30"/>
    </row>
    <row r="537">
      <c r="D537" s="30"/>
    </row>
    <row r="538">
      <c r="D538" s="30"/>
    </row>
    <row r="539">
      <c r="D539" s="30"/>
    </row>
    <row r="540">
      <c r="D540" s="30"/>
    </row>
    <row r="541">
      <c r="D541" s="30"/>
    </row>
    <row r="542">
      <c r="D542" s="30"/>
    </row>
    <row r="543">
      <c r="D543" s="30"/>
    </row>
    <row r="544">
      <c r="D544" s="30"/>
    </row>
    <row r="545">
      <c r="D545" s="30"/>
    </row>
    <row r="546">
      <c r="D546" s="30"/>
    </row>
    <row r="547">
      <c r="D547" s="30"/>
    </row>
    <row r="548">
      <c r="D548" s="30"/>
    </row>
    <row r="549">
      <c r="D549" s="30"/>
    </row>
    <row r="550">
      <c r="D550" s="30"/>
    </row>
    <row r="551">
      <c r="D551" s="30"/>
    </row>
    <row r="552">
      <c r="D552" s="30"/>
    </row>
    <row r="553">
      <c r="D553" s="30"/>
    </row>
    <row r="554">
      <c r="D554" s="30"/>
    </row>
    <row r="555">
      <c r="D555" s="30"/>
    </row>
    <row r="556">
      <c r="D556" s="30"/>
    </row>
    <row r="557">
      <c r="D557" s="30"/>
    </row>
    <row r="558">
      <c r="D558" s="30"/>
    </row>
    <row r="559">
      <c r="D559" s="30"/>
    </row>
    <row r="560">
      <c r="D560" s="30"/>
    </row>
    <row r="561">
      <c r="D561" s="30"/>
    </row>
    <row r="562">
      <c r="D562" s="30"/>
    </row>
    <row r="563">
      <c r="D563" s="30"/>
    </row>
    <row r="564">
      <c r="D564" s="30"/>
    </row>
    <row r="565">
      <c r="D565" s="30"/>
    </row>
    <row r="566">
      <c r="D566" s="30"/>
    </row>
    <row r="567">
      <c r="D567" s="30"/>
    </row>
    <row r="568">
      <c r="D568" s="30"/>
    </row>
    <row r="569">
      <c r="D569" s="30"/>
    </row>
    <row r="570">
      <c r="D570" s="30"/>
    </row>
    <row r="571">
      <c r="D571" s="30"/>
    </row>
    <row r="572">
      <c r="D572" s="30"/>
    </row>
    <row r="573">
      <c r="D573" s="30"/>
    </row>
    <row r="574">
      <c r="D574" s="30"/>
    </row>
    <row r="575">
      <c r="D575" s="30"/>
    </row>
    <row r="576">
      <c r="D576" s="30"/>
    </row>
    <row r="577">
      <c r="D577" s="30"/>
    </row>
    <row r="578">
      <c r="D578" s="30"/>
    </row>
    <row r="579">
      <c r="D579" s="30"/>
    </row>
    <row r="580">
      <c r="D580" s="30"/>
    </row>
    <row r="581">
      <c r="D581" s="30"/>
    </row>
    <row r="582">
      <c r="D582" s="30"/>
    </row>
    <row r="583">
      <c r="D583" s="30"/>
    </row>
    <row r="584">
      <c r="D584" s="30"/>
    </row>
    <row r="585">
      <c r="D585" s="30"/>
    </row>
    <row r="586">
      <c r="D586" s="30"/>
    </row>
    <row r="587">
      <c r="D587" s="30"/>
    </row>
    <row r="588">
      <c r="D588" s="30"/>
    </row>
    <row r="589">
      <c r="D589" s="30"/>
    </row>
    <row r="590">
      <c r="D590" s="30"/>
    </row>
    <row r="591">
      <c r="D591" s="30"/>
    </row>
    <row r="592">
      <c r="D592" s="30"/>
    </row>
    <row r="593">
      <c r="D593" s="30"/>
    </row>
    <row r="594">
      <c r="D594" s="30"/>
    </row>
    <row r="595">
      <c r="D595" s="30"/>
    </row>
    <row r="596">
      <c r="D596" s="30"/>
    </row>
    <row r="597">
      <c r="D597" s="30"/>
    </row>
    <row r="598">
      <c r="D598" s="30"/>
    </row>
    <row r="599">
      <c r="D599" s="30"/>
    </row>
    <row r="600">
      <c r="D600" s="30"/>
    </row>
    <row r="601">
      <c r="D601" s="30"/>
    </row>
    <row r="602">
      <c r="D602" s="30"/>
    </row>
    <row r="603">
      <c r="D603" s="30"/>
    </row>
    <row r="604">
      <c r="D604" s="30"/>
    </row>
    <row r="605">
      <c r="D605" s="30"/>
    </row>
    <row r="606">
      <c r="D606" s="30"/>
    </row>
    <row r="607">
      <c r="D607" s="30"/>
    </row>
    <row r="608">
      <c r="D608" s="30"/>
    </row>
    <row r="609">
      <c r="D609" s="30"/>
    </row>
    <row r="610">
      <c r="D610" s="30"/>
    </row>
    <row r="611">
      <c r="D611" s="30"/>
    </row>
    <row r="612">
      <c r="D612" s="30"/>
    </row>
    <row r="613">
      <c r="D613" s="30"/>
    </row>
    <row r="614">
      <c r="D614" s="30"/>
    </row>
    <row r="615">
      <c r="D615" s="30"/>
    </row>
    <row r="616">
      <c r="D616" s="30"/>
    </row>
    <row r="617">
      <c r="D617" s="30"/>
    </row>
    <row r="618">
      <c r="D618" s="30"/>
    </row>
    <row r="619">
      <c r="D619" s="30"/>
    </row>
    <row r="620">
      <c r="D620" s="30"/>
    </row>
    <row r="621">
      <c r="D621" s="30"/>
    </row>
    <row r="622">
      <c r="D622" s="30"/>
    </row>
    <row r="623">
      <c r="D623" s="30"/>
    </row>
    <row r="624">
      <c r="D624" s="30"/>
    </row>
    <row r="625">
      <c r="D625" s="30"/>
    </row>
    <row r="626">
      <c r="D626" s="30"/>
    </row>
    <row r="627">
      <c r="D627" s="30"/>
    </row>
    <row r="628">
      <c r="D628" s="30"/>
    </row>
    <row r="629">
      <c r="D629" s="30"/>
    </row>
    <row r="630">
      <c r="D630" s="30"/>
    </row>
    <row r="631">
      <c r="D631" s="30"/>
    </row>
    <row r="632">
      <c r="D632" s="30"/>
    </row>
    <row r="633">
      <c r="D633" s="30"/>
    </row>
    <row r="634">
      <c r="D634" s="30"/>
    </row>
    <row r="635">
      <c r="D635" s="30"/>
    </row>
    <row r="636">
      <c r="D636" s="30"/>
    </row>
    <row r="637">
      <c r="D637" s="30"/>
    </row>
    <row r="638">
      <c r="D638" s="30"/>
    </row>
    <row r="639">
      <c r="D639" s="30"/>
    </row>
    <row r="640">
      <c r="D640" s="30"/>
    </row>
    <row r="641">
      <c r="D641" s="30"/>
    </row>
    <row r="642">
      <c r="D642" s="30"/>
    </row>
    <row r="643">
      <c r="D643" s="30"/>
    </row>
    <row r="644">
      <c r="D644" s="30"/>
    </row>
    <row r="645">
      <c r="D645" s="30"/>
    </row>
    <row r="646">
      <c r="D646" s="30"/>
    </row>
    <row r="647">
      <c r="D647" s="30"/>
    </row>
    <row r="648">
      <c r="D648" s="30"/>
    </row>
    <row r="649">
      <c r="D649" s="30"/>
    </row>
    <row r="650">
      <c r="D650" s="30"/>
    </row>
    <row r="651">
      <c r="D651" s="30"/>
    </row>
    <row r="652">
      <c r="D652" s="30"/>
    </row>
    <row r="653">
      <c r="D653" s="30"/>
    </row>
    <row r="654">
      <c r="D654" s="30"/>
    </row>
    <row r="655">
      <c r="D655" s="30"/>
    </row>
    <row r="656">
      <c r="D656" s="30"/>
    </row>
    <row r="657">
      <c r="D657" s="30"/>
    </row>
    <row r="658">
      <c r="D658" s="30"/>
    </row>
    <row r="659">
      <c r="D659" s="30"/>
    </row>
    <row r="660">
      <c r="D660" s="30"/>
    </row>
    <row r="661">
      <c r="D661" s="30"/>
    </row>
    <row r="662">
      <c r="D662" s="30"/>
    </row>
    <row r="663">
      <c r="D663" s="30"/>
    </row>
    <row r="664">
      <c r="D664" s="30"/>
    </row>
    <row r="665">
      <c r="D665" s="30"/>
    </row>
    <row r="666">
      <c r="D666" s="30"/>
    </row>
    <row r="667">
      <c r="D667" s="30"/>
    </row>
    <row r="668">
      <c r="D668" s="30"/>
    </row>
    <row r="669">
      <c r="D669" s="30"/>
    </row>
    <row r="670">
      <c r="D670" s="30"/>
    </row>
    <row r="671">
      <c r="D671" s="30"/>
    </row>
    <row r="672">
      <c r="D672" s="30"/>
    </row>
    <row r="673">
      <c r="D673" s="30"/>
    </row>
    <row r="674">
      <c r="D674" s="30"/>
    </row>
    <row r="675">
      <c r="D675" s="30"/>
    </row>
    <row r="676">
      <c r="D676" s="30"/>
    </row>
    <row r="677">
      <c r="D677" s="30"/>
    </row>
    <row r="678">
      <c r="D678" s="30"/>
    </row>
    <row r="679">
      <c r="D679" s="30"/>
    </row>
    <row r="680">
      <c r="D680" s="30"/>
    </row>
    <row r="681">
      <c r="D681" s="30"/>
    </row>
    <row r="682">
      <c r="D682" s="30"/>
    </row>
    <row r="683">
      <c r="D683" s="30"/>
    </row>
    <row r="684">
      <c r="D684" s="30"/>
    </row>
    <row r="685">
      <c r="D685" s="30"/>
    </row>
    <row r="686">
      <c r="D686" s="30"/>
    </row>
    <row r="687">
      <c r="D687" s="30"/>
    </row>
    <row r="688">
      <c r="D688" s="30"/>
    </row>
    <row r="689">
      <c r="D689" s="30"/>
    </row>
    <row r="690">
      <c r="D690" s="30"/>
    </row>
    <row r="691">
      <c r="D691" s="30"/>
    </row>
    <row r="692">
      <c r="D692" s="30"/>
    </row>
    <row r="693">
      <c r="D693" s="30"/>
    </row>
    <row r="694">
      <c r="D694" s="30"/>
    </row>
    <row r="695">
      <c r="D695" s="30"/>
    </row>
    <row r="696">
      <c r="D696" s="30"/>
    </row>
    <row r="697">
      <c r="D697" s="30"/>
    </row>
    <row r="698">
      <c r="D698" s="30"/>
    </row>
    <row r="699">
      <c r="D699" s="30"/>
    </row>
    <row r="700">
      <c r="D700" s="30"/>
    </row>
    <row r="701">
      <c r="D701" s="30"/>
    </row>
    <row r="702">
      <c r="D702" s="30"/>
    </row>
    <row r="703">
      <c r="D703" s="30"/>
    </row>
    <row r="704">
      <c r="D704" s="30"/>
    </row>
    <row r="705">
      <c r="D705" s="30"/>
    </row>
    <row r="706">
      <c r="D706" s="30"/>
    </row>
    <row r="707">
      <c r="D707" s="30"/>
    </row>
    <row r="708">
      <c r="D708" s="30"/>
    </row>
    <row r="709">
      <c r="D709" s="30"/>
    </row>
    <row r="710">
      <c r="D710" s="30"/>
    </row>
    <row r="711">
      <c r="D711" s="30"/>
    </row>
    <row r="712">
      <c r="D712" s="30"/>
    </row>
    <row r="713">
      <c r="D713" s="30"/>
    </row>
    <row r="714">
      <c r="D714" s="30"/>
    </row>
    <row r="715">
      <c r="D715" s="30"/>
    </row>
    <row r="716">
      <c r="D716" s="30"/>
    </row>
    <row r="717">
      <c r="D717" s="30"/>
    </row>
    <row r="718">
      <c r="D718" s="30"/>
    </row>
    <row r="719">
      <c r="D719" s="30"/>
    </row>
    <row r="720">
      <c r="D720" s="30"/>
    </row>
    <row r="721">
      <c r="D721" s="30"/>
    </row>
    <row r="722">
      <c r="D722" s="30"/>
    </row>
    <row r="723">
      <c r="D723" s="30"/>
    </row>
    <row r="724">
      <c r="D724" s="30"/>
    </row>
    <row r="725">
      <c r="D725" s="30"/>
    </row>
    <row r="726">
      <c r="D726" s="30"/>
    </row>
    <row r="727">
      <c r="D727" s="30"/>
    </row>
    <row r="728">
      <c r="D728" s="30"/>
    </row>
    <row r="729">
      <c r="D729" s="30"/>
    </row>
    <row r="730">
      <c r="D730" s="30"/>
    </row>
    <row r="731">
      <c r="D731" s="30"/>
    </row>
    <row r="732">
      <c r="D732" s="30"/>
    </row>
    <row r="733">
      <c r="D733" s="30"/>
    </row>
    <row r="734">
      <c r="D734" s="30"/>
    </row>
    <row r="735">
      <c r="D735" s="30"/>
    </row>
    <row r="736">
      <c r="D736" s="30"/>
    </row>
    <row r="737">
      <c r="D737" s="30"/>
    </row>
    <row r="738">
      <c r="D738" s="30"/>
    </row>
    <row r="739">
      <c r="D739" s="30"/>
    </row>
    <row r="740">
      <c r="D740" s="30"/>
    </row>
    <row r="741">
      <c r="D741" s="30"/>
    </row>
    <row r="742">
      <c r="D742" s="30"/>
    </row>
    <row r="743">
      <c r="D743" s="30"/>
    </row>
    <row r="744">
      <c r="D744" s="30"/>
    </row>
    <row r="745">
      <c r="D745" s="30"/>
    </row>
    <row r="746">
      <c r="D746" s="30"/>
    </row>
    <row r="747">
      <c r="D747" s="30"/>
    </row>
    <row r="748">
      <c r="D748" s="30"/>
    </row>
    <row r="749">
      <c r="D749" s="30"/>
    </row>
    <row r="750">
      <c r="D750" s="30"/>
    </row>
    <row r="751">
      <c r="D751" s="30"/>
    </row>
    <row r="752">
      <c r="D752" s="30"/>
    </row>
    <row r="753">
      <c r="D753" s="30"/>
    </row>
    <row r="754">
      <c r="D754" s="30"/>
    </row>
    <row r="755">
      <c r="D755" s="30"/>
    </row>
    <row r="756">
      <c r="D756" s="30"/>
    </row>
    <row r="757">
      <c r="D757" s="30"/>
    </row>
    <row r="758">
      <c r="D758" s="30"/>
    </row>
    <row r="759">
      <c r="D759" s="30"/>
    </row>
    <row r="760">
      <c r="D760" s="30"/>
    </row>
    <row r="761">
      <c r="D761" s="30"/>
    </row>
    <row r="762">
      <c r="D762" s="30"/>
    </row>
    <row r="763">
      <c r="D763" s="30"/>
    </row>
    <row r="764">
      <c r="D764" s="30"/>
    </row>
    <row r="765">
      <c r="D765" s="30"/>
    </row>
    <row r="766">
      <c r="D766" s="30"/>
    </row>
    <row r="767">
      <c r="D767" s="30"/>
    </row>
    <row r="768">
      <c r="D768" s="30"/>
    </row>
    <row r="769">
      <c r="D769" s="30"/>
    </row>
    <row r="770">
      <c r="D770" s="30"/>
    </row>
    <row r="771">
      <c r="D771" s="30"/>
    </row>
    <row r="772">
      <c r="D772" s="30"/>
    </row>
    <row r="773">
      <c r="D773" s="30"/>
    </row>
    <row r="774">
      <c r="D774" s="30"/>
    </row>
    <row r="775">
      <c r="D775" s="30"/>
    </row>
    <row r="776">
      <c r="D776" s="30"/>
    </row>
    <row r="777">
      <c r="D777" s="30"/>
    </row>
    <row r="778">
      <c r="D778" s="30"/>
    </row>
    <row r="779">
      <c r="D779" s="30"/>
    </row>
    <row r="780">
      <c r="D780" s="30"/>
    </row>
    <row r="781">
      <c r="D781" s="30"/>
    </row>
    <row r="782">
      <c r="D782" s="30"/>
    </row>
    <row r="783">
      <c r="D783" s="30"/>
    </row>
    <row r="784">
      <c r="D784" s="30"/>
    </row>
    <row r="785">
      <c r="D785" s="30"/>
    </row>
    <row r="786">
      <c r="D786" s="30"/>
    </row>
    <row r="787">
      <c r="D787" s="30"/>
    </row>
    <row r="788">
      <c r="D788" s="30"/>
    </row>
    <row r="789">
      <c r="D789" s="30"/>
    </row>
    <row r="790">
      <c r="D790" s="30"/>
    </row>
    <row r="791">
      <c r="D791" s="30"/>
    </row>
    <row r="792">
      <c r="D792" s="30"/>
    </row>
    <row r="793">
      <c r="D793" s="30"/>
    </row>
    <row r="794">
      <c r="D794" s="30"/>
    </row>
    <row r="795">
      <c r="D795" s="30"/>
    </row>
    <row r="796">
      <c r="D796" s="30"/>
    </row>
    <row r="797">
      <c r="D797" s="30"/>
    </row>
    <row r="798">
      <c r="D798" s="30"/>
    </row>
    <row r="799">
      <c r="D799" s="30"/>
    </row>
    <row r="800">
      <c r="D800" s="30"/>
    </row>
    <row r="801">
      <c r="D801" s="30"/>
    </row>
    <row r="802">
      <c r="D802" s="30"/>
    </row>
    <row r="803">
      <c r="D803" s="30"/>
    </row>
    <row r="804">
      <c r="D804" s="30"/>
    </row>
    <row r="805">
      <c r="D805" s="30"/>
    </row>
    <row r="806">
      <c r="D806" s="30"/>
    </row>
    <row r="807">
      <c r="D807" s="30"/>
    </row>
    <row r="808">
      <c r="D808" s="30"/>
    </row>
    <row r="809">
      <c r="D809" s="30"/>
    </row>
    <row r="810">
      <c r="D810" s="30"/>
    </row>
    <row r="811">
      <c r="D811" s="30"/>
    </row>
    <row r="812">
      <c r="D812" s="30"/>
    </row>
    <row r="813">
      <c r="D813" s="30"/>
    </row>
    <row r="814">
      <c r="D814" s="30"/>
    </row>
    <row r="815">
      <c r="D815" s="30"/>
    </row>
    <row r="816">
      <c r="D816" s="30"/>
    </row>
    <row r="817">
      <c r="D817" s="30"/>
    </row>
    <row r="818">
      <c r="D818" s="30"/>
    </row>
    <row r="819">
      <c r="D819" s="30"/>
    </row>
    <row r="820">
      <c r="D820" s="30"/>
    </row>
    <row r="821">
      <c r="D821" s="30"/>
    </row>
    <row r="822">
      <c r="D822" s="30"/>
    </row>
    <row r="823">
      <c r="D823" s="30"/>
    </row>
    <row r="824">
      <c r="D824" s="30"/>
    </row>
    <row r="825">
      <c r="D825" s="30"/>
    </row>
    <row r="826">
      <c r="D826" s="30"/>
    </row>
    <row r="827">
      <c r="D827" s="30"/>
    </row>
    <row r="828">
      <c r="D828" s="30"/>
    </row>
    <row r="829">
      <c r="D829" s="30"/>
    </row>
    <row r="830">
      <c r="D830" s="30"/>
    </row>
    <row r="831">
      <c r="D831" s="30"/>
    </row>
    <row r="832">
      <c r="D832" s="30"/>
    </row>
    <row r="833">
      <c r="D833" s="30"/>
    </row>
    <row r="834">
      <c r="D834" s="30"/>
    </row>
    <row r="835">
      <c r="D835" s="30"/>
    </row>
    <row r="836">
      <c r="D836" s="30"/>
    </row>
    <row r="837">
      <c r="D837" s="30"/>
    </row>
    <row r="838">
      <c r="D838" s="30"/>
    </row>
    <row r="839">
      <c r="D839" s="30"/>
    </row>
    <row r="840">
      <c r="D840" s="30"/>
    </row>
    <row r="841">
      <c r="D841" s="30"/>
    </row>
    <row r="842">
      <c r="D842" s="30"/>
    </row>
    <row r="843">
      <c r="D843" s="30"/>
    </row>
    <row r="844">
      <c r="D844" s="30"/>
    </row>
    <row r="845">
      <c r="D845" s="30"/>
    </row>
    <row r="846">
      <c r="D846" s="30"/>
    </row>
    <row r="847">
      <c r="D847" s="30"/>
    </row>
    <row r="848">
      <c r="D848" s="30"/>
    </row>
    <row r="849">
      <c r="D849" s="30"/>
    </row>
    <row r="850">
      <c r="D850" s="30"/>
    </row>
    <row r="851">
      <c r="D851" s="30"/>
    </row>
    <row r="852">
      <c r="D852" s="30"/>
    </row>
    <row r="853">
      <c r="D853" s="30"/>
    </row>
    <row r="854">
      <c r="D854" s="30"/>
    </row>
    <row r="855">
      <c r="D855" s="30"/>
    </row>
    <row r="856">
      <c r="D856" s="30"/>
    </row>
    <row r="857">
      <c r="D857" s="30"/>
    </row>
    <row r="858">
      <c r="D858" s="30"/>
    </row>
    <row r="859">
      <c r="D859" s="30"/>
    </row>
    <row r="860">
      <c r="D860" s="30"/>
    </row>
    <row r="861">
      <c r="D861" s="30"/>
    </row>
    <row r="862">
      <c r="D862" s="30"/>
    </row>
    <row r="863">
      <c r="D863" s="30"/>
    </row>
    <row r="864">
      <c r="D864" s="30"/>
    </row>
    <row r="865">
      <c r="D865" s="30"/>
    </row>
    <row r="866">
      <c r="D866" s="30"/>
    </row>
    <row r="867">
      <c r="D867" s="30"/>
    </row>
    <row r="868">
      <c r="D868" s="30"/>
    </row>
    <row r="869">
      <c r="D869" s="30"/>
    </row>
    <row r="870">
      <c r="D870" s="30"/>
    </row>
    <row r="871">
      <c r="D871" s="30"/>
    </row>
    <row r="872">
      <c r="D872" s="30"/>
    </row>
    <row r="873">
      <c r="D873" s="30"/>
    </row>
    <row r="874">
      <c r="D874" s="30"/>
    </row>
    <row r="875">
      <c r="D875" s="30"/>
    </row>
    <row r="876">
      <c r="D876" s="30"/>
    </row>
    <row r="877">
      <c r="D877" s="30"/>
    </row>
    <row r="878">
      <c r="D878" s="30"/>
    </row>
    <row r="879">
      <c r="D879" s="30"/>
    </row>
    <row r="880">
      <c r="D880" s="30"/>
    </row>
    <row r="881">
      <c r="D881" s="30"/>
    </row>
    <row r="882">
      <c r="D882" s="30"/>
    </row>
    <row r="883">
      <c r="D883" s="30"/>
    </row>
    <row r="884">
      <c r="D884" s="30"/>
    </row>
    <row r="885">
      <c r="D885" s="30"/>
    </row>
    <row r="886">
      <c r="D886" s="30"/>
    </row>
    <row r="887">
      <c r="D887" s="30"/>
    </row>
    <row r="888">
      <c r="D888" s="30"/>
    </row>
    <row r="889">
      <c r="D889" s="30"/>
    </row>
    <row r="890">
      <c r="D890" s="30"/>
    </row>
    <row r="891">
      <c r="D891" s="30"/>
    </row>
    <row r="892">
      <c r="D892" s="30"/>
    </row>
    <row r="893">
      <c r="D893" s="30"/>
    </row>
    <row r="894">
      <c r="D894" s="30"/>
    </row>
    <row r="895">
      <c r="D895" s="30"/>
    </row>
    <row r="896">
      <c r="D896" s="30"/>
    </row>
    <row r="897">
      <c r="D897" s="30"/>
    </row>
    <row r="898">
      <c r="D898" s="30"/>
    </row>
    <row r="899">
      <c r="D899" s="30"/>
    </row>
    <row r="900">
      <c r="D900" s="30"/>
    </row>
    <row r="901">
      <c r="D901" s="30"/>
    </row>
    <row r="902">
      <c r="D902" s="30"/>
    </row>
    <row r="903">
      <c r="D903" s="30"/>
    </row>
    <row r="904">
      <c r="D904" s="30"/>
    </row>
    <row r="905">
      <c r="D905" s="30"/>
    </row>
    <row r="906">
      <c r="D906" s="30"/>
    </row>
    <row r="907">
      <c r="D907" s="30"/>
    </row>
    <row r="908">
      <c r="D908" s="30"/>
    </row>
    <row r="909">
      <c r="D909" s="30"/>
    </row>
    <row r="910">
      <c r="D910" s="30"/>
    </row>
    <row r="911">
      <c r="D911" s="30"/>
    </row>
    <row r="912">
      <c r="D912" s="30"/>
    </row>
    <row r="913">
      <c r="D913" s="30"/>
    </row>
    <row r="914">
      <c r="D914" s="30"/>
    </row>
    <row r="915">
      <c r="D915" s="30"/>
    </row>
    <row r="916">
      <c r="D916" s="30"/>
    </row>
    <row r="917">
      <c r="D917" s="30"/>
    </row>
    <row r="918">
      <c r="D918" s="30"/>
    </row>
    <row r="919">
      <c r="D919" s="30"/>
    </row>
    <row r="920">
      <c r="D920" s="30"/>
    </row>
    <row r="921">
      <c r="D921" s="30"/>
    </row>
    <row r="922">
      <c r="D922" s="30"/>
    </row>
    <row r="923">
      <c r="D923" s="30"/>
    </row>
    <row r="924">
      <c r="D924" s="30"/>
    </row>
    <row r="925">
      <c r="D925" s="30"/>
    </row>
    <row r="926">
      <c r="D926" s="30"/>
    </row>
    <row r="927">
      <c r="D927" s="30"/>
    </row>
    <row r="928">
      <c r="D928" s="30"/>
    </row>
    <row r="929">
      <c r="D929" s="30"/>
    </row>
    <row r="930">
      <c r="D930" s="30"/>
    </row>
    <row r="931">
      <c r="D931" s="30"/>
    </row>
    <row r="932">
      <c r="D932" s="30"/>
    </row>
    <row r="933">
      <c r="D933" s="30"/>
    </row>
    <row r="934">
      <c r="D934" s="30"/>
    </row>
    <row r="935">
      <c r="D935" s="30"/>
    </row>
    <row r="936">
      <c r="D936" s="30"/>
    </row>
    <row r="937">
      <c r="D937" s="30"/>
    </row>
    <row r="938">
      <c r="D938" s="30"/>
    </row>
    <row r="939">
      <c r="D939" s="30"/>
    </row>
    <row r="940">
      <c r="D940" s="30"/>
    </row>
    <row r="941">
      <c r="D941" s="30"/>
    </row>
    <row r="942">
      <c r="D942" s="30"/>
    </row>
    <row r="943">
      <c r="D943" s="30"/>
    </row>
    <row r="944">
      <c r="D944" s="30"/>
    </row>
    <row r="945">
      <c r="D945" s="30"/>
    </row>
    <row r="946">
      <c r="D946" s="30"/>
    </row>
    <row r="947">
      <c r="D947" s="30"/>
    </row>
    <row r="948">
      <c r="D948" s="30"/>
    </row>
    <row r="949">
      <c r="D949" s="30"/>
    </row>
    <row r="950">
      <c r="D950" s="30"/>
    </row>
    <row r="951">
      <c r="D951" s="30"/>
    </row>
    <row r="952">
      <c r="D952" s="30"/>
    </row>
    <row r="953">
      <c r="D953" s="30"/>
    </row>
    <row r="954">
      <c r="D954" s="30"/>
    </row>
    <row r="955">
      <c r="D955" s="30"/>
    </row>
    <row r="956">
      <c r="D956" s="30"/>
    </row>
    <row r="957">
      <c r="D957" s="30"/>
    </row>
    <row r="958">
      <c r="D958" s="30"/>
    </row>
    <row r="959">
      <c r="D959" s="30"/>
    </row>
    <row r="960">
      <c r="D960" s="30"/>
    </row>
    <row r="961">
      <c r="D961" s="30"/>
    </row>
    <row r="962">
      <c r="D962" s="30"/>
    </row>
    <row r="963">
      <c r="D963" s="30"/>
    </row>
    <row r="964">
      <c r="D964" s="30"/>
    </row>
    <row r="965">
      <c r="D965" s="30"/>
    </row>
    <row r="966">
      <c r="D966" s="30"/>
    </row>
    <row r="967">
      <c r="D967" s="30"/>
    </row>
    <row r="968">
      <c r="D968" s="30"/>
    </row>
    <row r="969">
      <c r="D969" s="30"/>
    </row>
    <row r="970">
      <c r="D970" s="30"/>
    </row>
    <row r="971">
      <c r="D971" s="30"/>
    </row>
    <row r="972">
      <c r="D972" s="30"/>
    </row>
    <row r="973">
      <c r="D973" s="30"/>
    </row>
    <row r="974">
      <c r="D974" s="30"/>
    </row>
    <row r="975">
      <c r="D975" s="30"/>
    </row>
    <row r="976">
      <c r="D976" s="30"/>
    </row>
    <row r="977">
      <c r="D977" s="30"/>
    </row>
    <row r="978">
      <c r="D978" s="30"/>
    </row>
    <row r="979">
      <c r="D979" s="30"/>
    </row>
    <row r="980">
      <c r="D980" s="30"/>
    </row>
    <row r="981">
      <c r="D981" s="30"/>
    </row>
    <row r="982">
      <c r="D982" s="30"/>
    </row>
    <row r="983">
      <c r="D983" s="30"/>
    </row>
    <row r="984">
      <c r="D984" s="30"/>
    </row>
    <row r="985">
      <c r="D985" s="30"/>
    </row>
    <row r="986">
      <c r="D986" s="30"/>
    </row>
    <row r="987">
      <c r="D987" s="30"/>
    </row>
    <row r="988">
      <c r="D988" s="30"/>
    </row>
    <row r="989">
      <c r="D989" s="30"/>
    </row>
    <row r="990">
      <c r="D990" s="30"/>
    </row>
    <row r="991">
      <c r="D991" s="30"/>
    </row>
    <row r="992">
      <c r="D992" s="30"/>
    </row>
    <row r="993">
      <c r="D993" s="30"/>
    </row>
    <row r="994">
      <c r="D994" s="30"/>
    </row>
    <row r="995">
      <c r="D995" s="30"/>
    </row>
    <row r="996">
      <c r="D996" s="30"/>
    </row>
    <row r="997">
      <c r="D997" s="30"/>
    </row>
    <row r="998">
      <c r="D998" s="30"/>
    </row>
    <row r="999">
      <c r="D999" s="30"/>
    </row>
    <row r="1000">
      <c r="D1000" s="30"/>
    </row>
  </sheetData>
  <drawing r:id="rId1"/>
</worksheet>
</file>